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lient" sheetId="2" state="visible" r:id="rId4"/>
    <sheet name="Checklist" sheetId="3" state="visible" r:id="rId5"/>
    <sheet name="Summary" sheetId="4" state="visible" r:id="rId6"/>
    <sheet name="Findings" sheetId="5" state="visible" r:id="rId7"/>
    <sheet name="Roadmap" sheetId="6" state="visible" r:id="rId8"/>
    <sheet name="Portfolio" sheetId="7" state="visible" r:id="rId9"/>
    <sheet name="AutoEvidence" sheetId="8" state="visible" r:id="rId10"/>
    <sheet name="E8 Map" sheetId="9" state="visible" r:id="rId11"/>
    <sheet name="Lists" sheetId="10" state="visible" r:id="rId12"/>
  </sheets>
  <definedNames>
    <definedName function="false" hidden="true" localSheetId="7" name="_xlnm._FilterDatabase" vbProcedure="false">AutoEvidence!$A$1:$G$400</definedName>
    <definedName function="false" hidden="false" localSheetId="2" name="_xlnm.Print_Titles" vbProcedure="false">Checklist!$4:$4</definedName>
    <definedName function="false" hidden="true" localSheetId="2" name="_xlnm._FilterDatabase" vbProcedure="false">Checklist!$A$4:$AL$129</definedName>
    <definedName function="false" hidden="true" localSheetId="6" name="_xlnm._FilterDatabase" vbProcedure="false">Portfolio!$A$21:$Q$146</definedName>
  </definedNames>
  <calcPr iterateCount="100" refMode="A1" iterate="false" iterateDelta="0.0001" fullCalcOnLoad="true"/>
  <extLst>
    <ext xmlns:loext="http://schemas.libreoffice.org/" uri="{7626C862-2A13-11E5-B345-FEFF819CDC9F}">
      <loext:extCalcPr stringRefSyntax="ExcelA1"/>
    </ext>
  </extLst>
</workbook>
</file>

<file path=xl/sharedStrings.xml><?xml version="1.0" encoding="utf-8"?>
<sst xmlns="http://schemas.openxmlformats.org/spreadsheetml/2006/main" count="1858" uniqueCount="1154">
  <si>
    <t xml:space="preserve">Client Environment Review - Assessment Workbook</t>
  </si>
  <si>
    <t xml:space="preserve">v1.1 - 5 Sep 2026 - blueAPACHE Portfolio Engineering (Bikash Shrestha). Companion to 'Client-Environment-Review-Method-and-Report-Template.docx'.</t>
  </si>
  <si>
    <t xml:space="preserve">What this is</t>
  </si>
  <si>
    <t xml:space="preserve">Purpose</t>
  </si>
  <si>
    <t xml:space="preserve">A repeatable, scored review of one client environment across 11 domains (124 controls) to find gaps, risks and improvement/billable opportunities. One workbook per client per review. Internal working tool - the client-ready output is the .docx report.</t>
  </si>
  <si>
    <t xml:space="preserve">Discharges (PE Handbook)</t>
  </si>
  <si>
    <t xml:space="preserve">Priority 5 (risks -&gt; SDM &amp; CAM), 13 (quarterly BAMS inclusions review), 14 (documentation currency), 15 (billable items -&gt; eFO leads), quarterly technology/M365 health reporting (top-3 per customer per quarter).</t>
  </si>
  <si>
    <t xml:space="preserve">Baseline</t>
  </si>
  <si>
    <t xml:space="preserve">Security domains score against ACSC/ASD Essential Eight ML1 (target 2) with ML2 as 'optimised' (3). Other domains use vendor / bA best-practice checklists. E8 model version: last updated 27 Nov 2023 (cyber.gov.au), confirmed current 5 Sep 2026.</t>
  </si>
  <si>
    <t xml:space="preserve">How to run a review (about half a day for a baseline; 1-2 h for a quarterly refresh)</t>
  </si>
  <si>
    <t xml:space="preserve">1. Client tab</t>
  </si>
  <si>
    <t xml:space="preserve">Fill the yellow cells. Mark domains out of scope. Note the E8 target agreed (or 'none yet').</t>
  </si>
  <si>
    <t xml:space="preserve">2. Prep (30 min)</t>
  </si>
  <si>
    <t xml:space="preserve">Load PROFILE / STACK / COMMITMENTS / PROBLEMS / OPPORTUNITIES for the client, the last quarterly report, the BAMS inclusions PowerBI extract, and open the consoles you have access to (Lighthouse, Orion, N-Central, Veeam/vminfo, FortiManager, EDR, Huntress/Rapid7, SNOW).</t>
  </si>
  <si>
    <t xml:space="preserve">3. Score (2-3 h)</t>
  </si>
  <si>
    <t xml:space="preserve">Checklist tab: for each control set Score (0-3 or N/A) using the rubric; record what you saw in 'Current state / evidence'. Unknown = 0 and a note. Skip nothing - N/A is a decision, blank is not.</t>
  </si>
  <si>
    <t xml:space="preserve">4. Rate gaps</t>
  </si>
  <si>
    <t xml:space="preserve">For every row showing 'Gap': set Risk (H/M/L), Effort (S/M/L), confirm the Tag (BAU / Billable / Value-add / Client-owned), write a one-line Recommendation and an Owner. Priority and Quick-win compute automatically.</t>
  </si>
  <si>
    <t xml:space="preserve">5. Read the roll-ups</t>
  </si>
  <si>
    <t xml:space="preserve">Summary = domain scorecard + Essential Eight indicative maturity + gap counts by tag. Findings = top 20 gaps ranked, plus the Top-3 for the quarter you choose. Roadmap = 30/90/180-day plan by ID.</t>
  </si>
  <si>
    <t xml:space="preserve">6. Validate with the SDM (30 min)</t>
  </si>
  <si>
    <t xml:space="preserve">Scope, politics, what the client already knows, what is in flight. Adjust risk ratings; agree the Top-3.</t>
  </si>
  <si>
    <t xml:space="preserve">7. File it</t>
  </si>
  <si>
    <t xml:space="preserve">Set 'Filed to' + Ref per gap: OPPORTUNITIES.md (business consequence), STACK debt register / verification backlog, PROBLEMS.md, SNOW ticket, eFO lead via SDM, or Risk notified (SDM+CAM). High risks must be notified in writing.</t>
  </si>
  <si>
    <t xml:space="preserve">8. Write up</t>
  </si>
  <si>
    <t xml:space="preserve">Use the .docx template (Part B). Real client names only when the SDM confirms it is going out. This workbook holds identifiers - keep it local; sanitise per the client's sanitiser map before pasting anywhere.</t>
  </si>
  <si>
    <t xml:space="preserve">9. Portfolio</t>
  </si>
  <si>
    <t xml:space="preserve">Copy the Summary 'Export strip' and the Checklist 'GapFlag' column into the master Portfolio tab for pattern hunting. A gap at 3+ clients is a service offering, not a client problem - raise with Head of PE / Presales.</t>
  </si>
  <si>
    <t xml:space="preserve">Quarterly refresh</t>
  </si>
  <si>
    <t xml:space="preserve">Re-score only: rows that were gaps, all COV rows, anything that changed (LOG.md), plus any control whose 'Last reviewed' is older than 6 months. Full pass annually or on handover / contract renewal / major incident.</t>
  </si>
  <si>
    <t xml:space="preserve">Scoring rubric</t>
  </si>
  <si>
    <t xml:space="preserve">0</t>
  </si>
  <si>
    <t xml:space="preserve">Absent or unknown - not implemented, or no evidence could be found. Unknown scores 0 until evidenced.</t>
  </si>
  <si>
    <t xml:space="preserve">1</t>
  </si>
  <si>
    <t xml:space="preserve">Partial or ad hoc - implemented for part of the scope, undocumented, unverified, or relies on one person.</t>
  </si>
  <si>
    <t xml:space="preserve">2</t>
  </si>
  <si>
    <t xml:space="preserve">Implemented and consistent - meets the target state across the in-scope estate; evidence sighted; documented. (Baseline / ~E8 ML1 where mapped)</t>
  </si>
  <si>
    <t xml:space="preserve">3</t>
  </si>
  <si>
    <t xml:space="preserve">Optimised - exceeds baseline, monitored and alerted, reviewed on a cadence, documented and owned. (~E8 ML2 where mapped - verify formally)</t>
  </si>
  <si>
    <t xml:space="preserve">N/A</t>
  </si>
  <si>
    <t xml:space="preserve">Not applicable to this client (e.g. no Azure, no on-prem AD). Excluded from percentages. Say why in the notes column.</t>
  </si>
  <si>
    <t xml:space="preserve">Target score</t>
  </si>
  <si>
    <t xml:space="preserve">Default 2 for every control (baseline). Raise to 3 for tier-1 systems or regulated clients; lower only with a documented reason. Gap = Score &lt; Target.</t>
  </si>
  <si>
    <t xml:space="preserve">Priority (Risk x Effort) and tags</t>
  </si>
  <si>
    <t xml:space="preserve">Priority</t>
  </si>
  <si>
    <t xml:space="preserve">H+S=P1, H+M=P1, H+L=P2, M+S=P2, M+M=P2, M+L=P3, L+S=P3, L+M=P3, L+L=P4. Quick win = Gap with Effort S and Risk H or M. Risk is business consequence x likelihood in this client's context, not generic severity.</t>
  </si>
  <si>
    <t xml:space="preserve">BAU</t>
  </si>
  <si>
    <t xml:space="preserve">bA should already be delivering this under BAMS. A BAU gap is a service-delivery issue - fix it, do not sell it. Raise a SNOW ticket / Catalogue Task.</t>
  </si>
  <si>
    <t xml:space="preserve">Billable</t>
  </si>
  <si>
    <t xml:space="preserve">Out of BAMS scope; remediation is project or T&amp;M work -&gt; eFO lead via SDM (handbook: agreed remediation from technology reports is billable).</t>
  </si>
  <si>
    <t xml:space="preserve">Value-add</t>
  </si>
  <si>
    <t xml:space="preserve">Advice or a small fix done within the relationship. Builds trust; note the time in the Proactive subtask.</t>
  </si>
  <si>
    <t xml:space="preserve">Client-owned</t>
  </si>
  <si>
    <t xml:space="preserve">The client's responsibility (policy, budget, their vendor). bA advises and records the risk decision.</t>
  </si>
  <si>
    <t xml:space="preserve">Colour legend</t>
  </si>
  <si>
    <t xml:space="preserve">Yellow fill / blue text</t>
  </si>
  <si>
    <t xml:space="preserve">Input cells - you fill these.</t>
  </si>
  <si>
    <t xml:space="preserve">White, black text</t>
  </si>
  <si>
    <t xml:space="preserve">Formulas - leave alone. Hidden helper columns (RankKey, Attained, E8 *) feed Summary/Findings; do not delete.</t>
  </si>
  <si>
    <t xml:space="preserve">Green fill</t>
  </si>
  <si>
    <t xml:space="preserve">Tool status / Tool evidence - filled automatically from the AutoEvidence tab (CER-Discovery output). Read it, then write your own Current state line and score.</t>
  </si>
  <si>
    <t xml:space="preserve">Score cell colours</t>
  </si>
  <si>
    <t xml:space="preserve">0 red, 1 orange, 2 light green, 3 green, N/A grey. Priority P1 red, P2 orange. RAG: Green &gt;= 80% of target, Amber &gt;= 50%, Red below (thresholds on Lists tab).</t>
  </si>
  <si>
    <t xml:space="preserve">Example of a completed row (format only - not real data)</t>
  </si>
  <si>
    <t xml:space="preserve">ID</t>
  </si>
  <si>
    <t xml:space="preserve">BDR-04</t>
  </si>
  <si>
    <t xml:space="preserve">Score</t>
  </si>
  <si>
    <t xml:space="preserve">1  (partial - second copy exists but is not protected)</t>
  </si>
  <si>
    <t xml:space="preserve">Risk / Effort</t>
  </si>
  <si>
    <t xml:space="preserve">H / M  -&gt; Priority P1 (computed)</t>
  </si>
  <si>
    <t xml:space="preserve">Tag</t>
  </si>
  <si>
    <t xml:space="preserve">Current state / evidence</t>
  </si>
  <si>
    <t xml:space="preserve">Veeam 12.1; second copy to emPOWER SYD but repository is domain-joined, no immutability; console login is a domain admin account without MFA. [VERIFIED] 05/09/2026 via Veeam console + RDM.</t>
  </si>
  <si>
    <t xml:space="preserve">Recommendation</t>
  </si>
  <si>
    <t xml:space="preserve">Hardened Linux repository with 14-day immutability, dedicated local backup-admin account, MFA on the console. ~2 days effort.</t>
  </si>
  <si>
    <t xml:space="preserve">Owner / Filed to / Ref</t>
  </si>
  <si>
    <t xml:space="preserve">bA  /  eFO lead (via SDM)  /  OPP-07, LEAD-12345</t>
  </si>
  <si>
    <t xml:space="preserve">Version log</t>
  </si>
  <si>
    <t xml:space="preserve">v1.1 - 05/09/2026</t>
  </si>
  <si>
    <t xml:space="preserve">Added AutoEvidence tab and 'Tool status' / 'Tool evidence' columns on the Checklist, fed by CER-Discovery (New-CEREvidencePack -&gt; AutoEvidence.csv). Summary gains a tool-coverage block. No changes to controls or scoring.</t>
  </si>
  <si>
    <t xml:space="preserve">v1.0 - 05/09/2026</t>
  </si>
  <si>
    <t xml:space="preserve">Initial release. 11 domains, 124 controls. E8 mapping to ML1/ML2 (Nov 2023 model). Lifecycle anchors verified 05/09/2026: Microsoft Learn (Server 2016 EoS 12 Jan 2027; Server 2022 mainstream 13 Oct 2026; SQL 2016 EoS 14 Jul 2026; Win10/Office 2016-19/Exchange 2016-19 EoS 14 Oct 2025), Broadcom KB (vSphere 7 EoGS 2 Oct 2025), Fortinet docs (SSL-VPN tunnel mode removed 7.6.3), CA/B Forum SC-081 (TLS 200/100/47 days).</t>
  </si>
  <si>
    <t xml:space="preserve">Client and review details</t>
  </si>
  <si>
    <t xml:space="preserve">Yellow cells are inputs. This sheet may hold real client identifiers - keep local; sanitise before sharing (sanitiser-maps/&lt;alias&gt;.json).</t>
  </si>
  <si>
    <t xml:space="preserve">Field</t>
  </si>
  <si>
    <t xml:space="preserve">Value</t>
  </si>
  <si>
    <t xml:space="preserve">Domain</t>
  </si>
  <si>
    <t xml:space="preserve">In scope?</t>
  </si>
  <si>
    <t xml:space="preserve">Scope note</t>
  </si>
  <si>
    <t xml:space="preserve">Client code</t>
  </si>
  <si>
    <t xml:space="preserve">C-0XX</t>
  </si>
  <si>
    <t xml:space="preserve">IAM - Identity &amp; Access</t>
  </si>
  <si>
    <t xml:space="preserve">Yes</t>
  </si>
  <si>
    <t xml:space="preserve">Client alias</t>
  </si>
  <si>
    <t xml:space="preserve">M365 - Microsoft 365 &amp; Email Security</t>
  </si>
  <si>
    <t xml:space="preserve">Client name (real - local only)</t>
  </si>
  <si>
    <t xml:space="preserve">END - Endpoint</t>
  </si>
  <si>
    <t xml:space="preserve">Sector / obligations</t>
  </si>
  <si>
    <t xml:space="preserve">SRV - Servers &amp; Virtualisation</t>
  </si>
  <si>
    <t xml:space="preserve">SDM</t>
  </si>
  <si>
    <t xml:space="preserve">NET - Network &amp; Firewall</t>
  </si>
  <si>
    <t xml:space="preserve">CAM / AM</t>
  </si>
  <si>
    <t xml:space="preserve">BDR - Backup &amp; DR</t>
  </si>
  <si>
    <t xml:space="preserve">Reviewer</t>
  </si>
  <si>
    <t xml:space="preserve">Bikash Shrestha</t>
  </si>
  <si>
    <t xml:space="preserve">COV - Monitoring, Patching &amp; BAMS Coverage</t>
  </si>
  <si>
    <t xml:space="preserve">Review date</t>
  </si>
  <si>
    <t xml:space="preserve">SEC - Security Programme &amp; Essential Eight</t>
  </si>
  <si>
    <t xml:space="preserve">Review type</t>
  </si>
  <si>
    <t xml:space="preserve">AZ - Azure &amp; Cloud</t>
  </si>
  <si>
    <t xml:space="preserve">Next review due</t>
  </si>
  <si>
    <t xml:space="preserve">DOC - Documentation &amp; Operational Hygiene</t>
  </si>
  <si>
    <t xml:space="preserve">Contract (BAMS tier / SoW ref)</t>
  </si>
  <si>
    <t xml:space="preserve">LIC - Lifecycle, Licensing &amp; Commercial</t>
  </si>
  <si>
    <t xml:space="preserve">Users (approx.)</t>
  </si>
  <si>
    <t xml:space="preserve">Sites</t>
  </si>
  <si>
    <t xml:space="preserve">If 'No': set every control in that domain to N/A on the Checklist so percentages exclude it.</t>
  </si>
  <si>
    <t xml:space="preserve">Servers (on-prem / emPOWER / Azure)</t>
  </si>
  <si>
    <t xml:space="preserve">M365 tenant(s)</t>
  </si>
  <si>
    <t xml:space="preserve">Evidence pulled (tick)</t>
  </si>
  <si>
    <t xml:space="preserve">Done</t>
  </si>
  <si>
    <t xml:space="preserve">Where / date</t>
  </si>
  <si>
    <t xml:space="preserve">Identity posture</t>
  </si>
  <si>
    <t xml:space="preserve">Hybrid - Entra Connect</t>
  </si>
  <si>
    <t xml:space="preserve">Client flow files (PROFILE/STACK/LOG/COMMITMENTS/PROBLEMS/OPPORTUNITIES)</t>
  </si>
  <si>
    <t xml:space="preserve">Security stack (EDR / MDR / gateway / app control)</t>
  </si>
  <si>
    <t xml:space="preserve">BAMS inclusions PowerBI extract</t>
  </si>
  <si>
    <t xml:space="preserve">Backup platform(s)</t>
  </si>
  <si>
    <t xml:space="preserve">Last quarterly / M365 health report</t>
  </si>
  <si>
    <t xml:space="preserve">Firewall / network platform</t>
  </si>
  <si>
    <t xml:space="preserve">Secure Score + Defender report</t>
  </si>
  <si>
    <t xml:space="preserve">Essential Eight target agreed</t>
  </si>
  <si>
    <t xml:space="preserve">None agreed</t>
  </si>
  <si>
    <t xml:space="preserve">Orion node list / N-Central patch + OS reports</t>
  </si>
  <si>
    <t xml:space="preserve">Last quarterly report date</t>
  </si>
  <si>
    <t xml:space="preserve">Veeam / vminfo backup status</t>
  </si>
  <si>
    <t xml:space="preserve">Notes / context from SDM</t>
  </si>
  <si>
    <t xml:space="preserve">FortiManager firmware + policy export</t>
  </si>
  <si>
    <t xml:space="preserve">EDR + Huntress/Rapid7 coverage</t>
  </si>
  <si>
    <t xml:space="preserve">SNOW: CIs, 90-day incidents, open problems</t>
  </si>
  <si>
    <t xml:space="preserve">Lifecycle lookups (MS Lifecycle, vendor EoS, warranty)</t>
  </si>
  <si>
    <t xml:space="preserve">Client Environment Review - Checklist (v1.1)</t>
  </si>
  <si>
    <t xml:space="preserve">Score every row (0-3 or N/A). For each 'Gap' set Risk, Effort, Tag, Recommendation, Owner, Filed to. Yellow = input; green = pulled from the AutoEvidence tab (CER-Discovery). Hidden helper columns feed the roll-ups - do not delete. Filter by Dom to work one domain at a time.</t>
  </si>
  <si>
    <t xml:space="preserve">Dom</t>
  </si>
  <si>
    <t xml:space="preserve">Control / check</t>
  </si>
  <si>
    <t xml:space="preserve">Why it matters</t>
  </si>
  <si>
    <t xml:space="preserve">Evidence source (bA tools)</t>
  </si>
  <si>
    <t xml:space="preserve">How to check</t>
  </si>
  <si>
    <t xml:space="preserve">Target state (baseline = score 2)</t>
  </si>
  <si>
    <t xml:space="preserve">E8 map</t>
  </si>
  <si>
    <t xml:space="preserve">Typical tag</t>
  </si>
  <si>
    <t xml:space="preserve">Score (0-3 / N/A)</t>
  </si>
  <si>
    <t xml:space="preserve">Gap?</t>
  </si>
  <si>
    <t xml:space="preserve">Risk (H/M/L)</t>
  </si>
  <si>
    <t xml:space="preserve">Effort (S/M/L)</t>
  </si>
  <si>
    <t xml:space="preserve">Quick win</t>
  </si>
  <si>
    <t xml:space="preserve">Tool status (auto)</t>
  </si>
  <si>
    <t xml:space="preserve">Tool evidence (auto, from CER-Discovery via AutoEvidence tab)</t>
  </si>
  <si>
    <t xml:space="preserve">Current state / evidence (what you saw, where, when)</t>
  </si>
  <si>
    <t xml:space="preserve">Owner</t>
  </si>
  <si>
    <t xml:space="preserve">Filed to</t>
  </si>
  <si>
    <t xml:space="preserve">Ref (ticket / lead / row)</t>
  </si>
  <si>
    <t xml:space="preserve">Source tag</t>
  </si>
  <si>
    <t xml:space="preserve">Last reviewed</t>
  </si>
  <si>
    <t xml:space="preserve">GapFlag (copy to Portfolio)</t>
  </si>
  <si>
    <t xml:space="preserve">RankKey</t>
  </si>
  <si>
    <t xml:space="preserve">Attained</t>
  </si>
  <si>
    <t xml:space="preserve">E8 PA</t>
  </si>
  <si>
    <t xml:space="preserve">E8 PO</t>
  </si>
  <si>
    <t xml:space="preserve">E8 MFA</t>
  </si>
  <si>
    <t xml:space="preserve">E8 RAP</t>
  </si>
  <si>
    <t xml:space="preserve">E8 AC</t>
  </si>
  <si>
    <t xml:space="preserve">E8 MAC</t>
  </si>
  <si>
    <t xml:space="preserve">E8 UAH</t>
  </si>
  <si>
    <t xml:space="preserve">E8 RB</t>
  </si>
  <si>
    <t xml:space="preserve">IAM-01</t>
  </si>
  <si>
    <t xml:space="preserve">IAM</t>
  </si>
  <si>
    <t xml:space="preserve">Identity &amp; Access</t>
  </si>
  <si>
    <t xml:space="preserve">Identity architecture documented and healthy (cloud-only / hybrid; Entra Connect or Cloud Sync; sync status)</t>
  </si>
  <si>
    <t xml:space="preserve">Everything else in identity depends on knowing where the source of truth is and that sync is not silently broken.</t>
  </si>
  <si>
    <t xml:space="preserve">Entra admin centre (via M365 Lighthouse) &gt; Entra Connect / Cloud Sync health; STACK.md</t>
  </si>
  <si>
    <t xml:space="preserve">Confirm sync type and server, last sync &lt; 1 h, zero export errors, staging server present or absence noted. Record in STACK.md.</t>
  </si>
  <si>
    <t xml:space="preserve">Documented in STACK.md; sync healthy; owner of the sync server known.</t>
  </si>
  <si>
    <t xml:space="preserve">IAM-02</t>
  </si>
  <si>
    <t xml:space="preserve">MFA enforced for all users via Conditional Access (not legacy per-user MFA); registration coverage</t>
  </si>
  <si>
    <t xml:space="preserve">Commodity credential attacks are the #1 initial access path (E8 ML1 MFA).</t>
  </si>
  <si>
    <t xml:space="preserve">Entra &gt; Conditional Access; Entra &gt; Authentication methods &gt; Registration report; Lighthouse 'Users without MFA'</t>
  </si>
  <si>
    <t xml:space="preserve">Policy requiring MFA for all users is On (not report-only); exclusions limited to break-glass and reviewed; % registered = 100%; no Security Defaults/per-user mix.</t>
  </si>
  <si>
    <t xml:space="preserve">100% of enabled users registered and enforced through CA; exclusions documented.</t>
  </si>
  <si>
    <t xml:space="preserve">MFA</t>
  </si>
  <si>
    <t xml:space="preserve">IAM-03</t>
  </si>
  <si>
    <t xml:space="preserve">Strong / phishing-resistant MFA for privileged users; weak methods (SMS/voice) disabled; number matching on</t>
  </si>
  <si>
    <t xml:space="preserve">E8 ML2 requires phishing-resistant MFA for privileged access; SMS/voice are trivially phished or SIM-swapped.</t>
  </si>
  <si>
    <t xml:space="preserve">Entra &gt; Authentication methods policy; CA authentication strengths; admin sign-in logs</t>
  </si>
  <si>
    <t xml:space="preserve">Admins use FIDO2/passkeys/Windows Hello or certificate; auth-strength CA policy scoped to admin roles; SMS and voice disabled tenant-wide or scoped out.</t>
  </si>
  <si>
    <t xml:space="preserve">All admin roles behind phishing-resistant auth strength; SMS/voice off.</t>
  </si>
  <si>
    <t xml:space="preserve">IAM-04</t>
  </si>
  <si>
    <t xml:space="preserve">Legacy authentication blocked (CA block policy; basic auth off in Exchange Online)</t>
  </si>
  <si>
    <t xml:space="preserve">Legacy protocols bypass MFA entirely.</t>
  </si>
  <si>
    <t xml:space="preserve">CA policy 'Block legacy authentication'; Entra sign-in logs filtered by legacy client apps (30 days)</t>
  </si>
  <si>
    <t xml:space="preserve">Block policy On for all users/apps; sign-in log shows zero successful legacy sign-ins in 30 days; SMTP AUTH disabled except documented relays.</t>
  </si>
  <si>
    <t xml:space="preserve">Blocked; zero legacy successes in 30 days.</t>
  </si>
  <si>
    <t xml:space="preserve">IAM-05</t>
  </si>
  <si>
    <t xml:space="preserve">Privileged role hygiene: Global Admin count 2-4, dedicated cloud-only admin accounts, least-privilege roles, PIM/JIT where licensed</t>
  </si>
  <si>
    <t xml:space="preserve">Standing global admin on daily-driver accounts is the most common tenant-loss pattern (E8 RAP).</t>
  </si>
  <si>
    <t xml:space="preserve">Entra &gt; Roles and administrators; Secure Score 'Designate fewer than 5 global admins'; PIM (P2)</t>
  </si>
  <si>
    <t xml:space="preserve">List all privileged role holders; check each is a dedicated account with no mailbox/licence, cloud-only, MFA strong; roles are least privilege; PIM eligible not permanent where P2 exists.</t>
  </si>
  <si>
    <t xml:space="preserve">2-4 GAs; all admins dedicated accounts; least privilege roles; PIM if licensed.</t>
  </si>
  <si>
    <t xml:space="preserve">RAP</t>
  </si>
  <si>
    <t xml:space="preserve">IAM-06</t>
  </si>
  <si>
    <t xml:space="preserve">Break-glass accounts: two exist, cloud-only, excluded from CA, credentials vaulted, sign-in alert configured</t>
  </si>
  <si>
    <t xml:space="preserve">Lock-out from a CA or MFA outage becomes a P1 without them; unmonitored ones are a backdoor.</t>
  </si>
  <si>
    <t xml:space="preserve">Entra users; CA exclusions; alert rule (Entra/Log Analytics/Sentinel or Huntress); CyberArk (if bA-held)</t>
  </si>
  <si>
    <t xml:space="preserve">Confirm both accounts, long random passwords stored securely (client vault or CyberArk safe), tested in last 6 months, alert on any sign-in.</t>
  </si>
  <si>
    <t xml:space="preserve">Two accounts, vaulted, alerting, tested.</t>
  </si>
  <si>
    <t xml:space="preserve">IAM-07</t>
  </si>
  <si>
    <t xml:space="preserve">Partner access is GDAP (not DAP) with least-privilege roles; bA access via Lighthouse named admin accounts; no shared customer admin accounts in CyberArk</t>
  </si>
  <si>
    <t xml:space="preserve">bA policy (KB0012228/KB0012557): named-account audit trail; shared accounts are an audit and insurance finding.</t>
  </si>
  <si>
    <t xml:space="preserve">M365 Lighthouse &gt; Tenants &gt; GDAP; Partner Center; CyberArk customer safe</t>
  </si>
  <si>
    <t xml:space="preserve">GDAP relationship active with expiry &gt; 90 days, roles scoped; DAP removed; any stored customer-managed admin account has rotation + JIT safe or a plan to remove.</t>
  </si>
  <si>
    <t xml:space="preserve">GDAP least privilege; no DAP; no shared standing admin accounts.</t>
  </si>
  <si>
    <t xml:space="preserve">IAM-08</t>
  </si>
  <si>
    <t xml:space="preserve">Guest and external identity governance: stale guests removed, collaboration settings restricted, access reviews where licensed</t>
  </si>
  <si>
    <t xml:space="preserve">Guests accumulate silently and retain access to Teams/SharePoint data indefinitely.</t>
  </si>
  <si>
    <t xml:space="preserve">Entra &gt; Users (guest filter, last sign-in); External collaboration settings; Access reviews (P2)</t>
  </si>
  <si>
    <t xml:space="preserve">Count guests with no sign-in &gt; 90 days; guest invite setting restricted to admins/members; access reviews or a documented quarterly manual review.</t>
  </si>
  <si>
    <t xml:space="preserve">No guest inactive &gt; 90 days; invite restricted; review cadence exists.</t>
  </si>
  <si>
    <t xml:space="preserve">IAM-09</t>
  </si>
  <si>
    <t xml:space="preserve">Account lifecycle: stale users/computers disabled, JML (joiner-mover-leaver) process defined, service accounts inventoried with owners</t>
  </si>
  <si>
    <t xml:space="preserve">Leavers with live accounts and orphaned service accounts are the quiet way in.</t>
  </si>
  <si>
    <t xml:space="preserve">Entra sign-in activity; AD (Get-ADUser/Get-ADComputer LastLogonDate via RDM/N-Central script); SNOW KB for JML</t>
  </si>
  <si>
    <t xml:space="preserve">Users no sign-in &gt; 90 days disabled/removed; computers &gt; 90 days disabled; service account register exists (owner, purpose, password age, interactive logon denied).</t>
  </si>
  <si>
    <t xml:space="preserve">Stale objects &lt; 2%; JML documented; service account register current.</t>
  </si>
  <si>
    <t xml:space="preserve">IAM-10</t>
  </si>
  <si>
    <t xml:space="preserve">On-prem AD DS health (if hybrid): supported DC OS, replication clean, FSMO/DNS sane, KRBTGT rotated, recycle bin on, legacy protocols disabled</t>
  </si>
  <si>
    <t xml:space="preserve">An unhealthy or unhardened AD undermines every cloud control and is the ransomware pivot point.</t>
  </si>
  <si>
    <t xml:space="preserve">RDM session to DC: dcdiag /q, repadmin /replsummary; AD Recycle Bin; KRBTGT pwdLastSet; GPO for SMBv1/NTLMv1/LDAP signing</t>
  </si>
  <si>
    <t xml:space="preserve">Zero replication errors; DC OS in support; KRBTGT reset &lt; 180 days (twice, spaced); SMBv1 off; LDAP signing/channel binding required; Protected Users for tier-0 admins.</t>
  </si>
  <si>
    <t xml:space="preserve">Healthy replication, supported DCs, KRBTGT &lt; 180 d, legacy protocols off.</t>
  </si>
  <si>
    <t xml:space="preserve">RAP, PO</t>
  </si>
  <si>
    <t xml:space="preserve">IAM-11</t>
  </si>
  <si>
    <t xml:space="preserve">Credential policy: Entra Password Protection (incl. on-prem agent), sensible expiry policy, Windows LAPS for local admin passwords</t>
  </si>
  <si>
    <t xml:space="preserve">Reused/guessable passwords and shared local admin passwords enable lateral movement (E8 ML2: local admin creds unique and managed).</t>
  </si>
  <si>
    <t xml:space="preserve">Entra &gt; Password protection; GPO/Intune LAPS policy; Intune &gt; Devices &gt; Local admin password</t>
  </si>
  <si>
    <t xml:space="preserve">Banned password list enforced (hybrid agent on DCs if AD); LAPS deployed to 100% of Windows devices and servers; policy on expiry documented and consistent with MFA posture.</t>
  </si>
  <si>
    <t xml:space="preserve">Password Protection on; LAPS on all Windows endpoints and member servers.</t>
  </si>
  <si>
    <t xml:space="preserve">IAM-12</t>
  </si>
  <si>
    <t xml:space="preserve">Conditional Access baseline: compliant/hybrid-joined device for corporate apps, unsupported platforms blocked, session controls for unmanaged devices, named locations</t>
  </si>
  <si>
    <t xml:space="preserve">MFA alone does not stop token theft or access from unmanaged devices.</t>
  </si>
  <si>
    <t xml:space="preserve">Entra &gt; Conditional Access (policy list + CA insights workbook); Intune compliance</t>
  </si>
  <si>
    <t xml:space="preserve">Policies exist for: require compliant device (or app protection) for M365, block unsupported device platforms, sign-in frequency/no persistent browser for unmanaged; report-only policies not left indefinitely.</t>
  </si>
  <si>
    <t xml:space="preserve">Documented CA baseline with the four core policies enabled.</t>
  </si>
  <si>
    <t xml:space="preserve">IAM-13</t>
  </si>
  <si>
    <t xml:space="preserve">Identity Protection / risky sign-in handling (P2): risk policies enabled, risky users remediated, alerts routed to MDR/SOC</t>
  </si>
  <si>
    <t xml:space="preserve">Licensed detection that nobody watches is a paid-for gap.</t>
  </si>
  <si>
    <t xml:space="preserve">Entra &gt; Protection &gt; Identity Protection (risky users, risk policies); Huntress/Rapid7 alert routing</t>
  </si>
  <si>
    <t xml:space="preserve">If P2 licensed: user-risk and sign-in-risk CA policies enabled; risky users list at zero unremediated &gt; 7 days; alerts reach a monitored queue. If not licensed: mark N/A and note in M365-10.</t>
  </si>
  <si>
    <t xml:space="preserve">Policies on; no unremediated risky users &gt; 7 days; alerts monitored.</t>
  </si>
  <si>
    <t xml:space="preserve">IAM-14</t>
  </si>
  <si>
    <t xml:space="preserve">SaaS SSO coverage and app consent governance: key apps behind Entra SSO; user consent to unverified apps blocked; admin consent workflow</t>
  </si>
  <si>
    <t xml:space="preserve">OAuth consent phishing and orphaned SaaS logins bypass every device and MFA control.</t>
  </si>
  <si>
    <t xml:space="preserve">Entra &gt; Enterprise applications; Consent and permissions settings; Secure Score item</t>
  </si>
  <si>
    <t xml:space="preserve">User consent set to 'verified publishers, low-impact' or disabled; admin consent workflow enabled with named approvers; top 10 business SaaS apps use SSO.</t>
  </si>
  <si>
    <t xml:space="preserve">Consent restricted; workflow on; critical SaaS on SSO.</t>
  </si>
  <si>
    <t xml:space="preserve">M365-01</t>
  </si>
  <si>
    <t xml:space="preserve">M365</t>
  </si>
  <si>
    <t xml:space="preserve">Microsoft 365 &amp; Email Security</t>
  </si>
  <si>
    <t xml:space="preserve">Tenant baseline: Microsoft Secure Score tracked, top actions actioned or formally risk-accepted, quarterly M365 Health Report top-3 closed</t>
  </si>
  <si>
    <t xml:space="preserve">Handbook expects top-3 priorities per customer per quarter; Secure Score is the shared yardstick with the client.</t>
  </si>
  <si>
    <t xml:space="preserve">Defender portal &gt; Secure Score (via Lighthouse); last quarterly M365 Health Report; LOG.md</t>
  </si>
  <si>
    <t xml:space="preserve">Record score % and 90-day trend; check last quarter's top-3 status; alternatively-mitigated items marked in portal so they drop off future reports.</t>
  </si>
  <si>
    <t xml:space="preserve">Score trending up; last quarter's top-3 closed or re-planned with dates.</t>
  </si>
  <si>
    <t xml:space="preserve">M365-02</t>
  </si>
  <si>
    <t xml:space="preserve">Email authentication: SPF (single record, &lt; 10 lookups, -all), DKIM on all sending domains and third-party senders, DMARC at quarantine/reject with reporting</t>
  </si>
  <si>
    <t xml:space="preserve">Spoofing of the client's own domain drives BEC losses; DMARC p=none is not protection.</t>
  </si>
  <si>
    <t xml:space="preserve">mxtoolbox / dmarcian; EXO &gt; DKIM; Mimecast DKIM signing; DNS (EasyDNS)</t>
  </si>
  <si>
    <t xml:space="preserve">Check every owned/sending domain: SPF valid and hard-fail, DKIM selectors live (M365 + Mimecast + marketing/ERP senders), DMARC policy and rua address monitored. Note parked domains lacking null SPF/DMARC.</t>
  </si>
  <si>
    <t xml:space="preserve">All domains SPF -all, DKIM aligned, DMARC p=quarantine or reject with reports reviewed.</t>
  </si>
  <si>
    <t xml:space="preserve">M365-03</t>
  </si>
  <si>
    <t xml:space="preserve">Inbound mail protection: Mimecast or Defender for Office 365 with impersonation/anti-phish, Safe Links/Attachments (or URL Protect/Attachment Protect), connectors locked to the gateway</t>
  </si>
  <si>
    <t xml:space="preserve">Email remains the top delivery channel; an open EXO connector lets attackers bypass the gateway.</t>
  </si>
  <si>
    <t xml:space="preserve">Mimecast console; Defender &gt; Email &amp; collaboration &gt; Policies (Preset security policies); EXO inbound connectors</t>
  </si>
  <si>
    <t xml:space="preserve">Preset Standard/Strict or equivalent Mimecast policies applied to all users; impersonation protection lists executives and domains; if Mimecast, EXO only accepts mail from Mimecast IPs; enhanced filtering configured.</t>
  </si>
  <si>
    <t xml:space="preserve">Gateway policies on for all users; MX bypass closed.</t>
  </si>
  <si>
    <t xml:space="preserve">M365-04</t>
  </si>
  <si>
    <t xml:space="preserve">Mailbox hygiene: external auto-forwarding blocked, forwarding report clean, mailbox auditing on, shared mailboxes sign-in blocked, inactive licensed mailboxes reviewed</t>
  </si>
  <si>
    <t xml:space="preserve">Auto-forward rules are the classic post-compromise persistence; inactive licensed mailboxes are pure waste.</t>
  </si>
  <si>
    <t xml:space="preserve">EXO &gt; Outbound spam policy (auto-forward); Mail flow &gt; Auto-forwarded messages report; Get-Mailbox audit; M365 usage reports</t>
  </si>
  <si>
    <t xml:space="preserve">Automatic forwarding = Off in outbound spam policy; review forwarding report for rules to external domains; shared mailboxes have sign-in blocked; list mailboxes inactive &gt; 90 days still licensed.</t>
  </si>
  <si>
    <t xml:space="preserve">Forwarding blocked; no unexplained external forwards; shared mailbox sign-in blocked.</t>
  </si>
  <si>
    <t xml:space="preserve">M365-05</t>
  </si>
  <si>
    <t xml:space="preserve">Exchange on-prem residual: no Exchange 2016/2019 (EoS 14 Oct 2025) - migrated to Exchange SE or removed; last-Exchange-server for recipient management handled</t>
  </si>
  <si>
    <t xml:space="preserve">Unsupported Exchange is internet-facing, unpatched and directly exploitable.</t>
  </si>
  <si>
    <t xml:space="preserve">STACK.md; Orion node list; SNOW CIs; Exchange admin (Get-ExchangeServer)</t>
  </si>
  <si>
    <t xml:space="preserve">Identify any on-prem Exchange server, version and CU; internet exposure; plan to Exchange SE (if hybrid management needed) or full decom using the management-tools-only path.</t>
  </si>
  <si>
    <t xml:space="preserve">No unsupported Exchange; hybrid management path documented.</t>
  </si>
  <si>
    <t xml:space="preserve">PA, PO</t>
  </si>
  <si>
    <t xml:space="preserve">M365-06</t>
  </si>
  <si>
    <t xml:space="preserve">SharePoint/OneDrive sharing: external sharing scoped, Anyone links off or expiring, default link type internal, unmanaged-device session controls, guest expiry</t>
  </si>
  <si>
    <t xml:space="preserve">Over-permissive links are the most common M365 data leakage path and an easy insurer/auditor finding.</t>
  </si>
  <si>
    <t xml:space="preserve">SharePoint admin centre &gt; Policies &gt; Sharing; Access control; Secure Score items</t>
  </si>
  <si>
    <t xml:space="preserve">Tenant sharing level 'New and existing guests' or tighter; Anyone links disabled or &lt;= 30-day expiry; default link 'People in your organisation'; idle session sign-out and limited access for unmanaged devices.</t>
  </si>
  <si>
    <t xml:space="preserve">Sharing restricted per policy; Anyone links off/expiring; defaults internal.</t>
  </si>
  <si>
    <t xml:space="preserve">M365-07</t>
  </si>
  <si>
    <t xml:space="preserve">Teams governance: external access/federation and guest access deliberate, meeting policies (anonymous join, lobby), third-party app policies, team sprawl managed</t>
  </si>
  <si>
    <t xml:space="preserve">Open federation enables Teams-based phishing; uncontrolled apps and guests expand the attack surface.</t>
  </si>
  <si>
    <t xml:space="preserve">Teams admin centre &gt; Users &gt; External access; Guest access; Meetings &gt; Meeting policies; Teams apps &gt; Permission policies</t>
  </si>
  <si>
    <t xml:space="preserve">Federation allow-listed or blocked for known-bad; anonymous users held in lobby; app permission policy blocks unknown third-party apps; team creation governance or expiry policy exists.</t>
  </si>
  <si>
    <t xml:space="preserve">Deliberate, documented settings; no 'allow all' defaults left unreviewed.</t>
  </si>
  <si>
    <t xml:space="preserve">M365-08</t>
  </si>
  <si>
    <t xml:space="preserve">Data protection: retention policies for Exchange/SharePoint/Teams, DLP baseline (AU PII/TFN/credit card), sensitivity labels where licensed, audit log retention</t>
  </si>
  <si>
    <t xml:space="preserve">Retention is not backup, but its absence is a legal/regulatory exposure; DLP catches the accidental send.</t>
  </si>
  <si>
    <t xml:space="preserve">Purview &gt; Data lifecycle management; DLP policies; Information protection; Audit retention policies</t>
  </si>
  <si>
    <t xml:space="preserve">At least one retention policy per workload aligned to the client's obligations; DLP policy in test-with-notifications or enforce for AU financial/PII templates; labels published if E3/E5/BP.</t>
  </si>
  <si>
    <t xml:space="preserve">Retention + baseline DLP in place and documented.</t>
  </si>
  <si>
    <t xml:space="preserve">M365-09</t>
  </si>
  <si>
    <t xml:space="preserve">Microsoft 365 backup (third-party) covering Exchange, SharePoint, OneDrive and Teams; coverage %, last job success, restore tested</t>
  </si>
  <si>
    <t xml:space="preserve">Microsoft's shared-responsibility model leaves data recovery to the customer (E8 RB).</t>
  </si>
  <si>
    <t xml:space="preserve">Backup console (Veeam for M365/Datto SaaS/AvePoint/other); BAMS inclusions (backup line items)</t>
  </si>
  <si>
    <t xml:space="preserve">Confirm product, all users/sites auto-protected (new users auto-added), last 7 days success, retention matches policy, a mailbox/file restore tested in last 6 months.</t>
  </si>
  <si>
    <t xml:space="preserve">100% coverage, jobs green, restore tested.</t>
  </si>
  <si>
    <t xml:space="preserve">RB</t>
  </si>
  <si>
    <t xml:space="preserve">M365-10</t>
  </si>
  <si>
    <t xml:space="preserve">Licensing fit: SKU inventory vs assigned vs active; unused licences; security features licensed but not deployed (P1/P2, Defender for Endpoint, Intune, Purview)</t>
  </si>
  <si>
    <t xml:space="preserve">Clients pay for controls they do not use, or run controls they are not licensed for.</t>
  </si>
  <si>
    <t xml:space="preserve">M365 admin centre &gt; Billing &gt; Licenses (via Lighthouse); Usage reports; eFO annuity</t>
  </si>
  <si>
    <t xml:space="preserve">Table: SKU, purchased, assigned, active 30 days; list features in the SKU not in use; flag over/under-licensing and NCE renewal date.</t>
  </si>
  <si>
    <t xml:space="preserve">&lt; 5% unassigned; licensed security features deployed or consciously deferred.</t>
  </si>
  <si>
    <t xml:space="preserve">M365-11</t>
  </si>
  <si>
    <t xml:space="preserve">Service health and Message Centre monitored; upcoming retirements/breaking changes tracked in LOG.md</t>
  </si>
  <si>
    <t xml:space="preserve">Microsoft retires features on a schedule; surprises become incidents.</t>
  </si>
  <si>
    <t xml:space="preserve">M365 admin centre &gt; Health &gt; Message centre (Lighthouse aggregate view); LOG.md</t>
  </si>
  <si>
    <t xml:space="preserve">Confirm who reads Message Centre for this tenant; last 90 days of 'Plan for change' items reviewed; anything affecting the client noted with a date.</t>
  </si>
  <si>
    <t xml:space="preserve">Named owner; changes tracked.</t>
  </si>
  <si>
    <t xml:space="preserve">M365-12</t>
  </si>
  <si>
    <t xml:space="preserve">Alert routing: security/compliance alerts and tenant notifications go to a monitored mailbox or MDR (Huntress ITDR / Rapid7), technical contact current</t>
  </si>
  <si>
    <t xml:space="preserve">Alerts sent to a departed admin's mailbox are alerts nobody sees.</t>
  </si>
  <si>
    <t xml:space="preserve">Defender &gt; Settings &gt; Email notifications; Entra &gt; Properties (technical contact); Huntress M365 integration status</t>
  </si>
  <si>
    <t xml:space="preserve">Notification recipients are role mailboxes or bA; Huntress/Rapid7 M365 connector healthy; technical and notification contacts not ex-staff.</t>
  </si>
  <si>
    <t xml:space="preserve">All alerts reach a monitored destination.</t>
  </si>
  <si>
    <t xml:space="preserve">END-01</t>
  </si>
  <si>
    <t xml:space="preserve">END</t>
  </si>
  <si>
    <t xml:space="preserve">Endpoint</t>
  </si>
  <si>
    <t xml:space="preserve">Device inventory and management coverage: every workstation/laptop/mobile enrolled in Intune (or GPO/ConfigMgr) and in RMM; unmanaged device count</t>
  </si>
  <si>
    <t xml:space="preserve">You cannot patch, protect or wipe what you do not manage; coverage gaps are also BAMS billing gaps.</t>
  </si>
  <si>
    <t xml:space="preserve">Intune &gt; Devices; Entra &gt; Devices; N-Central / NinjaOne device list; LionGard; HR headcount from PROFILE</t>
  </si>
  <si>
    <t xml:space="preserve">Reconcile counts across Intune, Entra, RMM and EDR; list devices in one and not the others; identify personally-owned devices accessing corporate data.</t>
  </si>
  <si>
    <t xml:space="preserve">Counts reconcile within 2%; every corporate device in MDM + RMM + EDR.</t>
  </si>
  <si>
    <t xml:space="preserve">END-02</t>
  </si>
  <si>
    <t xml:space="preserve">OS currency: Windows 11 only (Windows 10 EoS 14 Oct 2025; ESU only as documented exception), macOS n/n-1, feature update rings defined</t>
  </si>
  <si>
    <t xml:space="preserve">Unsupported OS = no security updates (E8 PO ML1: unsupported OS replaced).</t>
  </si>
  <si>
    <t xml:space="preserve">Intune &gt; Reports &gt; Windows feature update; N-Central OS report; Intune Windows 11 hardware readiness report</t>
  </si>
  <si>
    <t xml:space="preserve">Count Windows 10 devices and ESU status; list Win11-ineligible hardware; confirm feature-update deployment rings and deferrals.</t>
  </si>
  <si>
    <t xml:space="preserve">Zero unsupported OS without documented ESU/exception; rings defined.</t>
  </si>
  <si>
    <t xml:space="preserve">PO</t>
  </si>
  <si>
    <t xml:space="preserve">END-03</t>
  </si>
  <si>
    <t xml:space="preserve">OS patch compliance: workstations patched within 1 month (E8 ML1), critical/exploited within 48 h where internet-facing; reboot compliance; reporting</t>
  </si>
  <si>
    <t xml:space="preserve">Patch latency is the single largest measurable exposure.</t>
  </si>
  <si>
    <t xml:space="preserve">Intune &gt; Reports &gt; Windows update rings / Expedited; N-Central patch status report</t>
  </si>
  <si>
    <t xml:space="preserve">% devices compliant with latest cumulative update at 30 days; devices not checked in &gt; 14 days; pending-reboot count; patch policy and rings documented.</t>
  </si>
  <si>
    <t xml:space="preserve">&gt;= 95% within 30 days; &lt; 5% stale; process documented.</t>
  </si>
  <si>
    <t xml:space="preserve">END-04</t>
  </si>
  <si>
    <t xml:space="preserve">Third-party application patching: browsers, Office/M365 Apps, PDF, Java, collaboration clients patched within 2 weeks (E8 PA ML1); unsupported apps removed</t>
  </si>
  <si>
    <t xml:space="preserve">Browsers and PDF readers are the applications actually exploited on endpoints.</t>
  </si>
  <si>
    <t xml:space="preserve">N-Central / NinjaOne third-party patching; Intune Enterprise App Management or winget policy; Defender Vulnerability Management software inventory</t>
  </si>
  <si>
    <t xml:space="preserve">Tool in place and covering all devices; compliance % at 14 days for the E8 application classes; inventory shows no Flash, IE11, EoL Java/Adobe/7-Zip versions.</t>
  </si>
  <si>
    <t xml:space="preserve">Automated 3rd-party patching, &gt;= 90% within 14 days, EoL apps removed.</t>
  </si>
  <si>
    <t xml:space="preserve">PA</t>
  </si>
  <si>
    <t xml:space="preserve">END-05</t>
  </si>
  <si>
    <t xml:space="preserve">Endpoint vulnerability scanning: Defender Vulnerability Management or Rapid7 IVM agent on all devices; cadence per E8 ML1; critical findings aged &lt; 30 days</t>
  </si>
  <si>
    <t xml:space="preserve">E8 ML1 requires scanning (weekly apps, fortnightly OS) - patching without scanning is unverified.</t>
  </si>
  <si>
    <t xml:space="preserve">Defender portal &gt; Vulnerability management; Rapid7 IVM console</t>
  </si>
  <si>
    <t xml:space="preserve">Agent coverage %; last scan dates; count of critical/high CVEs with known exploits older than 30 days; exception register.</t>
  </si>
  <si>
    <t xml:space="preserve">&gt;= 98% coverage; no exploited criticals &gt; 30 days.</t>
  </si>
  <si>
    <t xml:space="preserve">END-06</t>
  </si>
  <si>
    <t xml:space="preserve">EDR/AV coverage and health: Trend / CrowdStrike / Defender for Endpoint on 100% of devices, sensors healthy (reported &lt;= 7 days), tamper protection on, Huntress agent alongside</t>
  </si>
  <si>
    <t xml:space="preserve">EDR is the control that turns a breach into an alert; unhealthy sensors are invisible gaps. CrowdStrike removal needs a customer-generated key - know the process before a P1.</t>
  </si>
  <si>
    <t xml:space="preserve">EDR console device health; Huntress portal agent list; Intune AV status report</t>
  </si>
  <si>
    <t xml:space="preserve">Devices in MDM/RMM vs EDR; inactive sensors &gt; 7 days; tamper protection and cloud-delivered protection enforced; alert routing to MDR/NOC confirmed.</t>
  </si>
  <si>
    <t xml:space="preserve">100% coverage, &lt; 2% inactive, tamper protection on.</t>
  </si>
  <si>
    <t xml:space="preserve">END-07</t>
  </si>
  <si>
    <t xml:space="preserve">Disk encryption: BitLocker enforced with recovery keys escrowed to Entra/Intune (or AD); FileVault on macOS; compliance report</t>
  </si>
  <si>
    <t xml:space="preserve">Lost laptops become notifiable data breaches without encryption evidence.</t>
  </si>
  <si>
    <t xml:space="preserve">Intune &gt; Reports &gt; Encryption report; Entra device BitLocker keys; Intune compliance policy</t>
  </si>
  <si>
    <t xml:space="preserve">% encrypted; % with key escrowed; compliance policy requires encryption; TPM+PIN or silent enablement decision documented.</t>
  </si>
  <si>
    <t xml:space="preserve">&gt;= 98% encrypted with escrowed keys.</t>
  </si>
  <si>
    <t xml:space="preserve">END-08</t>
  </si>
  <si>
    <t xml:space="preserve">Local administrator restriction: users are not local admins; Windows LAPS on every device; documented elevation path (EPM / RMM / temporary)</t>
  </si>
  <si>
    <t xml:space="preserve">Local admin defeats application control, EDR tamper protection and macro settings (E8 RAP).</t>
  </si>
  <si>
    <t xml:space="preserve">Intune LAPS policy and report; Entra 'Local admin' settings; RMM script listing local Administrators group members</t>
  </si>
  <si>
    <t xml:space="preserve">Sample or script the local Administrators group across devices; LAPS coverage %; elevation request process exists and is used.</t>
  </si>
  <si>
    <t xml:space="preserve">No standard users as local admin; LAPS 100%.</t>
  </si>
  <si>
    <t xml:space="preserve">END-09</t>
  </si>
  <si>
    <t xml:space="preserve">Application control on workstations (Airlock / WDAC / AppLocker): executables, scripts, installers, DLLs, HTA/CHM/CPL restricted; user profile and temp paths covered (E8 AC ML1)</t>
  </si>
  <si>
    <t xml:space="preserve">Application control is the E8 control with the highest ransomware-prevention value and the one most often missing.</t>
  </si>
  <si>
    <t xml:space="preserve">Airlock portal (portal.au.appenforcement.com); Intune WDAC/AppLocker policy; Airlock best-practice checklist</t>
  </si>
  <si>
    <t xml:space="preserve">Mode (audit vs enforce) per device group; % devices enforced; policy scope includes all E8 file types; blocked-event review process; exception handling documented.</t>
  </si>
  <si>
    <t xml:space="preserve">Enforced on all workstations for the E8 file types; audit-mode only as a time-boxed step.</t>
  </si>
  <si>
    <t xml:space="preserve">AC</t>
  </si>
  <si>
    <t xml:space="preserve">END-10</t>
  </si>
  <si>
    <t xml:space="preserve">Microsoft Office macros: blocked from the internet, disabled for users without business need, AV scanning on, settings locked (E8 MAC ML1); Win32 API calls blocked (ML2)</t>
  </si>
  <si>
    <t xml:space="preserve">Macro-borne malware is still a leading delivery mechanism; user-changeable settings make the control cosmetic.</t>
  </si>
  <si>
    <t xml:space="preserve">Intune Settings Catalog / GPO (Office macro policies); Defender ASR rule 'Block Win32 API calls from Office macros'</t>
  </si>
  <si>
    <t xml:space="preserve">Policies present and enforced for Word/Excel/PowerPoint/Access/Outlook: block macros from internet, disable all except digitally signed or per-group allow, prevent user override; ASR macro rules in block mode.</t>
  </si>
  <si>
    <t xml:space="preserve">All four ML1 requirements enforced; ML2 Win32 block on.</t>
  </si>
  <si>
    <t xml:space="preserve">MAC</t>
  </si>
  <si>
    <t xml:space="preserve">END-11</t>
  </si>
  <si>
    <t xml:space="preserve">User application hardening: browser hardening (no Java/ads from internet, settings locked), IE11 removed, ASR rules for Office/PDF child processes and injection, PowerShell v2 removed, script block/command-line logging (E8 UAH ML1/ML2)</t>
  </si>
  <si>
    <t xml:space="preserve">Closes the paths exploits and macros use to get from a document to a shell.</t>
  </si>
  <si>
    <t xml:space="preserve">Intune Settings Catalog (Edge/Chrome policies, ASR rules); Defender ASR report; GPO</t>
  </si>
  <si>
    <t xml:space="preserve">ASR rules 'Block Office child processes / executable content / injection / OLE', 'Block Adobe Reader child processes' in block mode; browser policies enforced; IE11 and PowerShell 2.0 feature disabled; PowerShell logging to SIEM.</t>
  </si>
  <si>
    <t xml:space="preserve">ML1 browser controls + core ASR rules in block mode; logging on.</t>
  </si>
  <si>
    <t xml:space="preserve">UAH</t>
  </si>
  <si>
    <t xml:space="preserve">END-12</t>
  </si>
  <si>
    <t xml:space="preserve">Compliance policies integrated with Conditional Access: encryption, AV, firewall, OS minimum, Defender risk score; non-compliant device count and grace periods</t>
  </si>
  <si>
    <t xml:space="preserve">Compliance policies make device state enforceable through CA rather than advisory.</t>
  </si>
  <si>
    <t xml:space="preserve">Intune &gt; Devices &gt; Compliance policies and report; CA 'Require compliant device' policy</t>
  </si>
  <si>
    <t xml:space="preserve">Policies exist per platform; non-compliant % and reasons; grace period &lt;= 7 days; CA actually references compliance.</t>
  </si>
  <si>
    <t xml:space="preserve">&lt; 5% non-compliant; CA-enforced.</t>
  </si>
  <si>
    <t xml:space="preserve">END-13</t>
  </si>
  <si>
    <t xml:space="preserve">Provisioning and SOE: Autopilot registration for new devices, baseline profile documented, naming standard, Autopilot &amp; Intune best-practice checklist applied</t>
  </si>
  <si>
    <t xml:space="preserve">Consistent builds are the foundation for every other endpoint control and cut ticket volume.</t>
  </si>
  <si>
    <t xml:space="preserve">Intune &gt; Enrollment &gt; Windows Autopilot; SOE doc in SNOW KB/SharePoint; bA Autopilot &amp; Intune checklist</t>
  </si>
  <si>
    <t xml:space="preserve">Autopilot profile assigned; ESP configured; hardware hash registration process with the reseller; SOE document current; deviations from the bA checklist justified.</t>
  </si>
  <si>
    <t xml:space="preserve">Autopilot in use; SOE documented &lt; 12 months old.</t>
  </si>
  <si>
    <t xml:space="preserve">END-14</t>
  </si>
  <si>
    <t xml:space="preserve">Mobile devices: iOS/Android access controlled by MAM/app protection (or MDM), PIN/biometric, selective wipe tested, BYOD stance documented</t>
  </si>
  <si>
    <t xml:space="preserve">Corporate mail on unmanaged phones is the most common uncontrolled data copy.</t>
  </si>
  <si>
    <t xml:space="preserve">Intune &gt; Apps &gt; App protection policies; CA 'Require app protection policy'; Intune mobile device list</t>
  </si>
  <si>
    <t xml:space="preserve">App protection policy targeting Outlook/Teams/OneDrive on both platforms; CA enforcing it; % of mobile sign-ins from protected apps.</t>
  </si>
  <si>
    <t xml:space="preserve">App protection enforced via CA for all mobile access.</t>
  </si>
  <si>
    <t xml:space="preserve">END-15</t>
  </si>
  <si>
    <t xml:space="preserve">Peripheral and host controls: USB removable storage policy, Windows Firewall enforced on all profiles, screen lock &lt;= 15 min, printer driver policy (Point and Print restrictions)</t>
  </si>
  <si>
    <t xml:space="preserve">Cheap controls that close common audit findings and lateral-movement paths.</t>
  </si>
  <si>
    <t xml:space="preserve">Intune Settings Catalog / GPO; Defender device control policy</t>
  </si>
  <si>
    <t xml:space="preserve">Check policy presence and assignment; sample a device for effective settings (Get-NetFirewallProfile, device control events).</t>
  </si>
  <si>
    <t xml:space="preserve">Policies deployed to all devices.</t>
  </si>
  <si>
    <t xml:space="preserve">END-16</t>
  </si>
  <si>
    <t xml:space="preserve">Endpoint lifecycle: device age, warranty status, Windows 11 ineligible units, refresh plan and budget signalled to SDM/CAM</t>
  </si>
  <si>
    <t xml:space="preserve">Ageing fleets generate tickets and block OS currency; refresh is billable project work.</t>
  </si>
  <si>
    <t xml:space="preserve">Intune/RMM hardware inventory; Dell/HP warranty lookups; LIC-01 register</t>
  </si>
  <si>
    <t xml:space="preserve">Count devices &gt; 5 years or out of warranty; map to refresh year; raise as eFO lead if no plan exists.</t>
  </si>
  <si>
    <t xml:space="preserve">Register exists; refresh plan agreed; no device &gt; 6 years in production.</t>
  </si>
  <si>
    <t xml:space="preserve">SRV-01</t>
  </si>
  <si>
    <t xml:space="preserve">SRV</t>
  </si>
  <si>
    <t xml:space="preserve">Servers &amp; Virtualisation</t>
  </si>
  <si>
    <t xml:space="preserve">Server inventory accurate across SNOW CIs, eFO, Orion and vCenter/emPOWER: counts match, IP/NAT IP present, role and owner documented</t>
  </si>
  <si>
    <t xml:space="preserve">CI gaps break monitoring, billing and P1 response (handbook: CI discrepancies form).</t>
  </si>
  <si>
    <t xml:space="preserve">SNOW CI list (customer account); eFO Cloud Services; Orion node list; vminfo.empowercloud.net.au; vCenter</t>
  </si>
  <si>
    <t xml:space="preserve">Export each list; diff hostnames; note CIs missing IP/NAT IP; raise 'Add Configuration Item to Account' requests for fixes.</t>
  </si>
  <si>
    <t xml:space="preserve">Zero unexplained differences; all CIs complete.</t>
  </si>
  <si>
    <t xml:space="preserve">SRV-02</t>
  </si>
  <si>
    <t xml:space="preserve">Server OS support status: no Windows Server 2012/2012 R2 (ESU ends Oct 2026), Server 2016 plan (EoS 12 Jan 2027), Server 2022 mainstream ends 13 Oct 2026; Linux distros in support</t>
  </si>
  <si>
    <t xml:space="preserve">Unsupported OS breaches E8 PO ML1 and cyber-insurance conditions; 2016 is the next cliff for most clients.</t>
  </si>
  <si>
    <t xml:space="preserve">N-Central OS report; vCenter guest OS; SNOW CIs; Microsoft Lifecycle (learn.microsoft.com/lifecycle)</t>
  </si>
  <si>
    <t xml:space="preserve">List servers by OS/version; flag anything past EoS or within 12 months; for each, note the app it hosts and the upgrade/migrate/decom option.</t>
  </si>
  <si>
    <t xml:space="preserve">No EoS OS; migration plan with dates for anything within 12 months.</t>
  </si>
  <si>
    <t xml:space="preserve">SRV-03</t>
  </si>
  <si>
    <t xml:space="preserve">Server patch compliance: monthly cadence within 1 month (E8 ML1), internet-facing within 48 h for critical/exploited; maintenance windows agreed; failed/pending reboots</t>
  </si>
  <si>
    <t xml:space="preserve">Servers are patched less consistently than endpoints and are the higher-value target.</t>
  </si>
  <si>
    <t xml:space="preserve">N-Central patch status by server; change records for patch windows; STACK.md maintenance window</t>
  </si>
  <si>
    <t xml:space="preserve">% servers on current month's updates; servers with failed patches or pending reboot &gt; 30 days; documented approval and window per client.</t>
  </si>
  <si>
    <t xml:space="preserve">&gt;= 95% within 30 days; windows documented; exceptions listed.</t>
  </si>
  <si>
    <t xml:space="preserve">SRV-04</t>
  </si>
  <si>
    <t xml:space="preserve">Server hardening baseline: CIS/Microsoft baseline, SMBv1 off, TLS 1.0/1.1 off, RDP not internet-exposed + NLA, EDR on servers, unnecessary roles removed, application control on internet-facing servers (E8 ML2)</t>
  </si>
  <si>
    <t xml:space="preserve">Default builds carry known-weak protocols; internet-facing servers are the E8 ML2 application-control scope.</t>
  </si>
  <si>
    <t xml:space="preserve">RMM script/CIS-CAT output; GPO baseline; EDR console (server coverage); firewall NAT rules</t>
  </si>
  <si>
    <t xml:space="preserve">Sample tier-0/internet-facing servers: protocol settings, EDR presence, listening services, local admin membership; check external NAT rules for RDP/SMB.</t>
  </si>
  <si>
    <t xml:space="preserve">Baseline applied and evidenced; no exposed RDP; EDR 100% on servers.</t>
  </si>
  <si>
    <t xml:space="preserve">AC, RAP</t>
  </si>
  <si>
    <t xml:space="preserve">SRV-05</t>
  </si>
  <si>
    <t xml:space="preserve">Privileged access to servers: admin via jump host/RDM with CyberArk-sourced credentials, no direct RDP from user VLAN, tiered admin accounts, gMSA/managed service accounts</t>
  </si>
  <si>
    <t xml:space="preserve">E8 ML2 requires jump servers and separate privileged environments; flat admin access is how ransomware spreads.</t>
  </si>
  <si>
    <t xml:space="preserve">Firewall policy (user VLAN -&gt; server RDP); RDM/CyberArk configuration; AD admin group membership; Protected Users</t>
  </si>
  <si>
    <t xml:space="preserve">Check firewall rule for RDP from user subnets; list Domain Admins/Enterprise Admins (should be &lt;= 5, all dedicated accounts); service accounts with interactive logon rights.</t>
  </si>
  <si>
    <t xml:space="preserve">Jump-host-only admin, dedicated tiered accounts, DA &lt;= 5.</t>
  </si>
  <si>
    <t xml:space="preserve">SRV-06</t>
  </si>
  <si>
    <t xml:space="preserve">Hypervisor platform health: vSphere/Hyper-V version in support (vSphere 7 end of general support was 2 Oct 2025), host firmware currency, HA/DRS configured, N+1 capacity, datastore free &gt;= 20%, stale snapshots, VMware licensing status post-Broadcom</t>
  </si>
  <si>
    <t xml:space="preserve">The hypervisor is a single point of failure for the whole estate and a licensing cost risk.</t>
  </si>
  <si>
    <t xml:space="preserve">vCenter (Skyline/Health); emPOWER VCD / vCenter (M1/S1) for hosted; Hyper-V Manager/WAC; vendor lifecycle pages</t>
  </si>
  <si>
    <t xml:space="preserve">Record version/build; host count and failure tolerance; snapshots &gt; 72 h; datastore utilisation; subscription/licence expiry and renewal owner.</t>
  </si>
  <si>
    <t xml:space="preserve">Supported version, N+1, no stale snapshots, licensing current.</t>
  </si>
  <si>
    <t xml:space="preserve">SRV-07</t>
  </si>
  <si>
    <t xml:space="preserve">Capacity and performance: CPU/RAM/storage headroom and 12-month growth trend; over/under-provisioned VMs; storage latency alerts</t>
  </si>
  <si>
    <t xml:space="preserve">Capacity surprises become emergency purchases; right-sizing is a visible value-add (and billable in emPOWER terms).</t>
  </si>
  <si>
    <t xml:space="preserve">Orion capacity/forecast reports; vCenter performance; emPOWER order line items</t>
  </si>
  <si>
    <t xml:space="preserve">Pull 90-day utilisation; list VMs &lt; 10% CPU with &gt; 8 vCPU (over) and &gt; 85% sustained (under); storage months-to-full.</t>
  </si>
  <si>
    <t xml:space="preserve">&gt;= 6 months headroom; right-sizing recommendations issued.</t>
  </si>
  <si>
    <t xml:space="preserve">SRV-08</t>
  </si>
  <si>
    <t xml:space="preserve">File services: share permissions (no Everyone/Authenticated Users modify), DFS-N/DFS-R health, quotas/FSRM, migration candidates to SharePoint/Azure Files</t>
  </si>
  <si>
    <t xml:space="preserve">Open shares are the ransomware blast radius and the data-governance blind spot.</t>
  </si>
  <si>
    <t xml:space="preserve">RMM script (Get-SmbShare / NTFS ACL audit); DFS diagnostics; SharePoint Migration Assessment</t>
  </si>
  <si>
    <t xml:space="preserve">Audit top-level shares and ACLs; DFS replication backlog; identify data volumes and access patterns for a cloud-migration opportunity.</t>
  </si>
  <si>
    <t xml:space="preserve">No broad-write shares; DFS healthy; migration position documented.</t>
  </si>
  <si>
    <t xml:space="preserve">SRV-09</t>
  </si>
  <si>
    <t xml:space="preserve">Database and application servers: SQL versions in support (SQL 2014 and 2016 are out of support - 9 Jul 2024 and 14 Jul 2026; ESU only), backups (full + log) and recovery model, application owners and vendor support contracts documented</t>
  </si>
  <si>
    <t xml:space="preserve">Line-of-business apps are why the client exists; SQL EoS and untested backups are the risk.</t>
  </si>
  <si>
    <t xml:space="preserve">SQL inventory via RMM; Veeam application-aware processing; PROFILE.md application list</t>
  </si>
  <si>
    <t xml:space="preserve">List SQL instances/versions/editions; recovery model vs backup type; last successful DB restore; vendor support status per LoB app.</t>
  </si>
  <si>
    <t xml:space="preserve">Supported SQL; backups match recovery model; app owners known.</t>
  </si>
  <si>
    <t xml:space="preserve">PO, RB</t>
  </si>
  <si>
    <t xml:space="preserve">SRV-10</t>
  </si>
  <si>
    <t xml:space="preserve">Certificates and PKI: internal CA health (CRL/AIA publishing, CA OS support), certificate expiry inventory, public cert automation plan (public TLS max lifetime 200 days since 15 Mar 2026, 100 days from Mar 2027, 47 days from Mar 2029 - CA/B Forum SC-081)</t>
  </si>
  <si>
    <t xml:space="preserve">Expired certificates cause outages; manual renewal will not scale as lifetimes shrink.</t>
  </si>
  <si>
    <t xml:space="preserve">pkiview.msc / certutil; GeoCerts portal; Orion SSL monitors; crt.sh</t>
  </si>
  <si>
    <t xml:space="preserve">List public certs and expiry; internal CA CRL validity; plan for ACME/automation; certificates on load balancers/firewalls included.</t>
  </si>
  <si>
    <t xml:space="preserve">Inventory current; nothing expiring &lt; 30 days unowned; automation plan for public certs.</t>
  </si>
  <si>
    <t xml:space="preserve">SRV-11</t>
  </si>
  <si>
    <t xml:space="preserve">Core services: NTP hierarchy, DNS (scavenging, forwarders not ISP, split-brain documented), DHCP failover and scope utilisation</t>
  </si>
  <si>
    <t xml:space="preserve">Quiet services that cause loud outages (Kerberos time skew, scope exhaustion).</t>
  </si>
  <si>
    <t xml:space="preserve">RDM to DC: w32tm /query /status; DNS server properties; DHCP scope statistics</t>
  </si>
  <si>
    <t xml:space="preserve">PDC syncs to external stratum; scavenging enabled with sane intervals; DHCP failover or documented single point; scopes &lt; 80% utilised.</t>
  </si>
  <si>
    <t xml:space="preserve">All three healthy and documented.</t>
  </si>
  <si>
    <t xml:space="preserve">SRV-12</t>
  </si>
  <si>
    <t xml:space="preserve">Print, RDS/Citrix/RAS and legacy services: print server hardening (Point and Print), RDS/VDI farm health and CAL licensing, legacy runtimes (.NET, Java) on supported versions</t>
  </si>
  <si>
    <t xml:space="preserve">Print spooler and remote-desktop farms are recurring CVE targets and licence-compliance traps.</t>
  </si>
  <si>
    <t xml:space="preserve">RMM inventory; RD Licensing Manager; farm consoles (RAS/Citrix); vendor advisories</t>
  </si>
  <si>
    <t xml:space="preserve">Check spooler exposure and Point and Print restrictions; RDS CAL count vs users; farm version support; runtime versions on app servers.</t>
  </si>
  <si>
    <t xml:space="preserve">Hardened, licensed, supported.</t>
  </si>
  <si>
    <t xml:space="preserve">SRV-13</t>
  </si>
  <si>
    <t xml:space="preserve">Linux estate: distro support status, automated patching (unattended-upgrades/dnf-automatic/Ansible), SSH hardening (key-only, no root), monitoring and backup agents, domain integration (SSSD) if applicable</t>
  </si>
  <si>
    <t xml:space="preserve">Linux boxes are often 'someone else's' and fall outside the Windows-centric patch and monitoring loops.</t>
  </si>
  <si>
    <t xml:space="preserve">SSH via RDM; /etc/os-release; sshd_config; Orion Linux agent; Veeam Linux agent</t>
  </si>
  <si>
    <t xml:space="preserve">Inventory Linux hosts; check EoL status, patch automation, SSH settings, monitoring/backup presence, owner.</t>
  </si>
  <si>
    <t xml:space="preserve">All Linux hosts supported, patched, monitored, backed up.</t>
  </si>
  <si>
    <t xml:space="preserve">NET-01</t>
  </si>
  <si>
    <t xml:space="preserve">NET</t>
  </si>
  <si>
    <t xml:space="preserve">Network &amp; Firewall</t>
  </si>
  <si>
    <t xml:space="preserve">Network documentation current: L3 diagram (&lt; 12 months), VLAN/IP schema in Netbox, WAN/ISP circuits and carrier contacts recorded</t>
  </si>
  <si>
    <t xml:space="preserve">Handbook: network changes require diagram updates; incidents without a diagram take twice as long.</t>
  </si>
  <si>
    <t xml:space="preserve">SharePoint Technical docs; Netbox; SNOW KB; STACK.md</t>
  </si>
  <si>
    <t xml:space="preserve">Locate diagram and check revision date against last network change; Netbox prefixes vs live config; carrier details for each circuit.</t>
  </si>
  <si>
    <t xml:space="preserve">Diagram &lt; 12 months and accurate; IPAM current; circuits documented.</t>
  </si>
  <si>
    <t xml:space="preserve">NET-02</t>
  </si>
  <si>
    <t xml:space="preserve">Firewall platform: model in support, FortiOS on a recommended mature branch (per PSIRT), HA pair, config backed up in FortiManager, management not internet-exposed, individual admin accounts, MFA</t>
  </si>
  <si>
    <t xml:space="preserve">Fortinet edge devices are actively exploited within days of PSIRT advisories; unmanaged firmware is the top network risk.</t>
  </si>
  <si>
    <t xml:space="preserve">FortiManager (mfm01); FortiGate GUI; Fortinet product lifecycle; PSIRT advisories; bA Fortinet best-practice checklist</t>
  </si>
  <si>
    <t xml:space="preserve">Record model/firmware; compare to PSIRT; HA state; last config backup; admin access restricted to trusted hosts with MFA; local admin credentials in CyberArk.</t>
  </si>
  <si>
    <t xml:space="preserve">Supported model, current recommended firmware, HA (or documented risk), management locked down.</t>
  </si>
  <si>
    <t xml:space="preserve">NET-03</t>
  </si>
  <si>
    <t xml:space="preserve">Firewall policy hygiene: no any/any, unused rules (zero hits &gt; 90 days) removed, logging on all policies, security profiles (IPS/AV/web filter/app control/DNS filter) on internet-bound policies, geo-blocking</t>
  </si>
  <si>
    <t xml:space="preserve">Policy sprawl hides risky rules; unlogged rules blind the SIEM.</t>
  </si>
  <si>
    <t xml:space="preserve">FortiManager/FortiAnalyzer policy hit counts; FortiGate policy table; Rapid7 log sources</t>
  </si>
  <si>
    <t xml:space="preserve">Export policy table; count any/any and disabled/unused rules; check UTM profiles and logging per policy; SSL inspection posture documented.</t>
  </si>
  <si>
    <t xml:space="preserve">Clean policy set with profiles and logging on every internet-bound rule.</t>
  </si>
  <si>
    <t xml:space="preserve">NET-04</t>
  </si>
  <si>
    <t xml:space="preserve">Internet-facing exposure: external scan of all public IPs; every open port justified; no RDP/SMB/database exposed; SSL-VPN tunnel mode (removed in FortiOS 7.6.3) migrated to IPsec (TCP/443 option) or ZTNA</t>
  </si>
  <si>
    <t xml:space="preserve">Exposed services and legacy VPN portals are the initial access of choice for ransomware crews.</t>
  </si>
  <si>
    <t xml:space="preserve">Rapid7 IVM external scan; LionGard attack surface; Shodan; FortiGate VIP/NAT table</t>
  </si>
  <si>
    <t xml:space="preserve">Scan or review last scan; map each open port to a business justification and owner; check VPN type and firmware support.</t>
  </si>
  <si>
    <t xml:space="preserve">Only justified services exposed, behind IPS; VPN modern and MFA-protected.</t>
  </si>
  <si>
    <t xml:space="preserve">NET-05</t>
  </si>
  <si>
    <t xml:space="preserve">Remote access: VPN/ZTNA requires MFA (SAML/Entra), device posture checks, split-tunnel policy documented, contractor access segregated and time-bound</t>
  </si>
  <si>
    <t xml:space="preserve">VPN without MFA is the cheapest credential-stuffing target on the internet (E8 MFA).</t>
  </si>
  <si>
    <t xml:space="preserve">FortiGate SSL-VPN/IPsec settings; Entra enterprise app for VPN SAML; VPN user groups</t>
  </si>
  <si>
    <t xml:space="preserve">Confirm authentication chain includes MFA; local VPN accounts count (should be zero except break-glass); posture checks; contractor group and expiry.</t>
  </si>
  <si>
    <t xml:space="preserve">MFA on all remote access; no standing local VPN accounts.</t>
  </si>
  <si>
    <t xml:space="preserve">NET-06</t>
  </si>
  <si>
    <t xml:space="preserve">Segmentation: user/server/guest/IoT-OT/voice/management VLANs separated by policy; guest wireless isolated; printers, cameras, BMS not on user VLAN</t>
  </si>
  <si>
    <t xml:space="preserve">Flat networks turn one infected laptop into a whole-of-business outage.</t>
  </si>
  <si>
    <t xml:space="preserve">Firewall interfaces and inter-VLAN policies; switch VLAN config; diagram</t>
  </si>
  <si>
    <t xml:space="preserve">List VLANs and the policies between them; confirm default inter-VLAN deny; guest isolation; where OT/IoT sits.</t>
  </si>
  <si>
    <t xml:space="preserve">Segmented with default-deny between zones; guest/IoT isolated.</t>
  </si>
  <si>
    <t xml:space="preserve">NET-07</t>
  </si>
  <si>
    <t xml:space="preserve">Switching and wireless: firmware currency, loop protection, uplink redundancy, PoE budget, WPA2/3-Enterprise with 802.1X (no corporate PSK), controller/cloud licence expiry</t>
  </si>
  <si>
    <t xml:space="preserve">Access-layer neglect causes the intermittent faults that consume service-desk time.</t>
  </si>
  <si>
    <t xml:space="preserve">Meraki dashboard / Aruba Central / FortiSwitch via FortiGate; Orion; bA Fortinet Wireless Design checklist</t>
  </si>
  <si>
    <t xml:space="preserve">Firmware versions vs vendor recommended; STP/loop guard; corporate SSID auth method; licence expiry dates; APs/switches unreachable.</t>
  </si>
  <si>
    <t xml:space="preserve">Supported firmware; 802.1X for corporate Wi-Fi; licences &gt; 90 days.</t>
  </si>
  <si>
    <t xml:space="preserve">NET-08</t>
  </si>
  <si>
    <t xml:space="preserve">Network monitoring coverage: every firewall/switch/AP/UPS in Orion (or LogicMonitor/Meraki) with SNMPv3, utilisation alerts, config backup (NCM/FortiManager), syslog to FortiAnalyzer/Rapid7</t>
  </si>
  <si>
    <t xml:space="preserve">Unmonitored network devices are diagnosed by user complaints.</t>
  </si>
  <si>
    <t xml:space="preserve">Orion node list; Orion NCM; FortiAnalyzer; Rapid7 log sources</t>
  </si>
  <si>
    <t xml:space="preserve">Diff device inventory vs monitored nodes; SNMP version; last config backup per device; syslog source list.</t>
  </si>
  <si>
    <t xml:space="preserve">100% of network devices monitored, backed up and logging.</t>
  </si>
  <si>
    <t xml:space="preserve">NET-09</t>
  </si>
  <si>
    <t xml:space="preserve">WAN and internet resilience: dual ISP or SD-WAN with tested failover, 4G/5G backup where appropriate, single points of failure listed, carrier SLA known</t>
  </si>
  <si>
    <t xml:space="preserve">Cloud-first clients lose everything when the single link drops.</t>
  </si>
  <si>
    <t xml:space="preserve">FortiGate SD-WAN status; change records for failover tests; PROFILE.md sites</t>
  </si>
  <si>
    <t xml:space="preserve">Per site: links, failover method, last test date, SLA; list SPOFs (single firewall, single switch, single ISP).</t>
  </si>
  <si>
    <t xml:space="preserve">Critical sites have tested failover; SPOFs accepted in writing or planned.</t>
  </si>
  <si>
    <t xml:space="preserve">NET-10</t>
  </si>
  <si>
    <t xml:space="preserve">DNS and domain hygiene: registrar (TPP) and DNS (EasyDNS) access controlled, registrar lock, expiry &gt; 6 months, CAA record, stale/dangling records removed (subdomain takeover)</t>
  </si>
  <si>
    <t xml:space="preserve">Domain loss or hijack is total business outage; dangling CNAMEs are free phishing infrastructure.</t>
  </si>
  <si>
    <t xml:space="preserve">TPP Wholesale; EasyDNS; whois; DNS zone export; crt.sh</t>
  </si>
  <si>
    <t xml:space="preserve">Check expiry, lock, contacts; review zone for records pointing at decommissioned services; CAA present; DNSSEC status.</t>
  </si>
  <si>
    <t xml:space="preserve">Locked, current, clean zone, CAA set.</t>
  </si>
  <si>
    <t xml:space="preserve">NET-11</t>
  </si>
  <si>
    <t xml:space="preserve">Network access control: 802.1X/MAB or port security on wired, rogue device detection, DHCP snooping/dynamic ARP inspection where supported</t>
  </si>
  <si>
    <t xml:space="preserve">Anyone who can plug in should not get the server VLAN.</t>
  </si>
  <si>
    <t xml:space="preserve">Switch config; NAC (FortiNAC/Meraki/Aruba ClearPass) if present</t>
  </si>
  <si>
    <t xml:space="preserve">Check whether unused ports are disabled or in a quarantine VLAN; 802.1X on user ports; rogue detection alerts.</t>
  </si>
  <si>
    <t xml:space="preserve">Port-level control on user-accessible ports.</t>
  </si>
  <si>
    <t xml:space="preserve">NET-12</t>
  </si>
  <si>
    <t xml:space="preserve">Voice/UC and special networks: Teams Phone/SBC or PBX support status, QoS, emergency-call location, BMS/CCTV/OT firmware and isolation</t>
  </si>
  <si>
    <t xml:space="preserve">Legacy PBX and OT devices are unpatched Linux boxes with vendor remote access.</t>
  </si>
  <si>
    <t xml:space="preserve">Teams admin centre; SBC/PBX console; vendor support contracts; NET-06 segmentation</t>
  </si>
  <si>
    <t xml:space="preserve">Inventory voice and OT/IoT platforms; support status; remote-access method used by vendors; isolation confirmed.</t>
  </si>
  <si>
    <t xml:space="preserve">Supported, isolated, vendor access controlled.</t>
  </si>
  <si>
    <t xml:space="preserve">BDR-01</t>
  </si>
  <si>
    <t xml:space="preserve">BDR</t>
  </si>
  <si>
    <t xml:space="preserve">Backup &amp; DR</t>
  </si>
  <si>
    <t xml:space="preserve">Backup coverage: every production server/VM, database and SaaS workload is in a backup job; unprotected list is empty</t>
  </si>
  <si>
    <t xml:space="preserve">The item nobody added to the job is the one that gets encrypted (E8 RB).</t>
  </si>
  <si>
    <t xml:space="preserve">Veeam console (unprotected VMs); vminfo.empowercloud.net.au last-backup; Azure Backup; BAMS backup line items (eFO)</t>
  </si>
  <si>
    <t xml:space="preserve">Diff inventory (SRV-01) against protected objects; confirm new VMs are auto-included (tag/folder-based jobs); compare to contracted backup items.</t>
  </si>
  <si>
    <t xml:space="preserve">100% of production protected; contract matches reality.</t>
  </si>
  <si>
    <t xml:space="preserve">BDR-02</t>
  </si>
  <si>
    <t xml:space="preserve">Backup success and monitoring: 30-day success &gt;= 98%, failures actioned within 24 h, job alerts to bA Backup team/NOC, warnings not chronically ignored</t>
  </si>
  <si>
    <t xml:space="preserve">A green dashboard with 40 days of warnings is a failed backup in waiting.</t>
  </si>
  <si>
    <t xml:space="preserve">Veeam reports/Veeam ONE; Orion backup monitors; SNOW incident history for backup failures</t>
  </si>
  <si>
    <t xml:space="preserve">Pull 30-day job history; list repeat failures and warnings older than 7 days; confirm alert routing and ticket creation.</t>
  </si>
  <si>
    <t xml:space="preserve">&gt;= 98% success; no failure unactioned &gt; 24 h.</t>
  </si>
  <si>
    <t xml:space="preserve">BDR-03</t>
  </si>
  <si>
    <t xml:space="preserve">Retention, RPO and RTO documented per system tier and agreed with the business; regulatory retention (e.g. 7 years financial records) reflected; matches contract</t>
  </si>
  <si>
    <t xml:space="preserve">Without agreed targets, every restore conversation becomes a dispute.</t>
  </si>
  <si>
    <t xml:space="preserve">Backup job settings; SoW/BAMS scope; PROFILE.md; DR plan</t>
  </si>
  <si>
    <t xml:space="preserve">Table systems by tier with RPO/RTO/retention; compare job configuration; note gaps between contract, configuration and expectation.</t>
  </si>
  <si>
    <t xml:space="preserve">Documented, agreed, and matching configuration.</t>
  </si>
  <si>
    <t xml:space="preserve">3-2-1 and immutability: second copy offsite (emPOWER cross-DC / Azure / object storage), immutable or air-gapped copy, repository not domain-joined, separate credentials, MFA on backup console</t>
  </si>
  <si>
    <t xml:space="preserve">Modern ransomware deletes backups first; E8 ML1 requires backups protected from modification/deletion.</t>
  </si>
  <si>
    <t xml:space="preserve">Veeam repository settings (immutability, hardened repo); Azure Backup soft delete/immutable vault; backup server domain membership; console MFA</t>
  </si>
  <si>
    <t xml:space="preserve">Trace each copy; confirm immutability window &gt;= retention of most recent restore point; backup server local accounts; MFA and least privilege on console.</t>
  </si>
  <si>
    <t xml:space="preserve">Immutable offsite copy; backup infrastructure isolated from production AD.</t>
  </si>
  <si>
    <t xml:space="preserve">BDR-05</t>
  </si>
  <si>
    <t xml:space="preserve">Restore testing: file, VM and application-level restores tested in the last 6 months with evidence; DR runbook exercised annually</t>
  </si>
  <si>
    <t xml:space="preserve">E8 RB ML1: restoration tested as part of DR exercises. Untested backups are hope, not a control.</t>
  </si>
  <si>
    <t xml:space="preserve">Veeam SureBackup reports; change/ticket records of restore tests; DR test report; LOG.md</t>
  </si>
  <si>
    <t xml:space="preserve">Find last restore test evidence per tier; schedule one if absent; record results in STACK.md and the client report.</t>
  </si>
  <si>
    <t xml:space="preserve">Evidence of restore tests &lt;= 6 months; DR test &lt;= 12 months.</t>
  </si>
  <si>
    <t xml:space="preserve">BDR-06</t>
  </si>
  <si>
    <t xml:space="preserve">Application-consistent backups: SQL/Exchange/AD with VSS and log truncation; AD system state and forest-recovery capability; DC snapshot policy</t>
  </si>
  <si>
    <t xml:space="preserve">Crash-consistent images of databases and DCs restore into corruption.</t>
  </si>
  <si>
    <t xml:space="preserve">Veeam job settings (application-aware processing, guest credentials); SQL log growth; AD backup job</t>
  </si>
  <si>
    <t xml:space="preserve">Check application-aware processing succeeds (not falling back); SQL logs truncating; at least two DCs backed up with system state; snapshot-revert of DCs prohibited.</t>
  </si>
  <si>
    <t xml:space="preserve">App-aware on all DB/AD workloads; AD recoverable.</t>
  </si>
  <si>
    <t xml:space="preserve">BDR-07</t>
  </si>
  <si>
    <t xml:space="preserve">Endpoint and user data protection: OneDrive Known Folder Move enforced, no critical data on local drives or personal cloud, laptop loss scenario covered</t>
  </si>
  <si>
    <t xml:space="preserve">Desktop and Documents folders are where the finance spreadsheets actually live.</t>
  </si>
  <si>
    <t xml:space="preserve">Intune OneDrive KFM policy; OneDrive usage report; Defender for Cloud Apps discovery (shadow storage)</t>
  </si>
  <si>
    <t xml:space="preserve">KFM policy assigned and enforced; % users with OneDrive active; unsanctioned cloud storage in discovery logs.</t>
  </si>
  <si>
    <t xml:space="preserve">KFM enforced; unsanctioned storage addressed.</t>
  </si>
  <si>
    <t xml:space="preserve">BDR-08</t>
  </si>
  <si>
    <t xml:space="preserve">DR plan and BCP: documented plan with system priorities, RTO tiers, failover procedure (emPOWER DRaaS / ASR / rebuild), dependency map (DNS, identity, licensing), contact tree, reviewed &lt;= 12 months</t>
  </si>
  <si>
    <t xml:space="preserve">Backups without a plan produce a 5-day outage instead of a 5-hour one.</t>
  </si>
  <si>
    <t xml:space="preserve">SNOW KB / SharePoint DR document; ASR/DRaaS configuration; PROFILE.md contacts</t>
  </si>
  <si>
    <t xml:space="preserve">Locate the plan; check date, owner, whether it reflects current architecture; confirm failover mechanism actually configured for tier-1 systems.</t>
  </si>
  <si>
    <t xml:space="preserve">Current plan, configured failover for tier-1, annual review.</t>
  </si>
  <si>
    <t xml:space="preserve">BDR-09</t>
  </si>
  <si>
    <t xml:space="preserve">Backup platform lifecycle: Veeam version in support, repository capacity &gt;= 6 months growth headroom, backup server OS supported, licences current</t>
  </si>
  <si>
    <t xml:space="preserve">The backup server is often the oldest, least-patched box in the room.</t>
  </si>
  <si>
    <t xml:space="preserve">Veeam console (About, licence); repository free space trend; N-Central OS report</t>
  </si>
  <si>
    <t xml:space="preserve">Version and licence expiry; capacity trend; OS of backup server and proxies; patch status.</t>
  </si>
  <si>
    <t xml:space="preserve">Supported, licensed, &gt;= 6 months capacity.</t>
  </si>
  <si>
    <t xml:space="preserve">RB, PO</t>
  </si>
  <si>
    <t xml:space="preserve">BDR-10</t>
  </si>
  <si>
    <t xml:space="preserve">Configuration backups of platforms: firewall/switch configs, Entra/Intune/CA policy exports, Azure resource templates, hypervisor config - versioned and restorable</t>
  </si>
  <si>
    <t xml:space="preserve">Rebuilding a tenant's Conditional Access from memory during an incident is not a plan.</t>
  </si>
  <si>
    <t xml:space="preserve">FortiManager revisions; Orion NCM; Intune/Entra export scripts or third-party (e.g. M365DSC); git/SharePoint versions</t>
  </si>
  <si>
    <t xml:space="preserve">Confirm each platform has an automated or scheduled config export; last export date; where stored and who can restore.</t>
  </si>
  <si>
    <t xml:space="preserve">All platforms exported &lt;= 30 days, stored securely.</t>
  </si>
  <si>
    <t xml:space="preserve">COV-01</t>
  </si>
  <si>
    <t xml:space="preserve">COV</t>
  </si>
  <si>
    <t xml:space="preserve">Monitoring, Patching &amp; BAMS Coverage</t>
  </si>
  <si>
    <t xml:space="preserve">BAMS inclusions reconciled: PowerBI 'eFO People or Items in My Org - with ROLES' vs actual devices/services - every billed item exists, every managed item is billed, BAMS codes correct</t>
  </si>
  <si>
    <t xml:space="preserve">Handbook priority 13 (quarterly). Revenue leakage and billing for decommissioned items both damage the relationship.</t>
  </si>
  <si>
    <t xml:space="preserve">PowerBI report; eFO Cloud Services; SNOW CIs; SRV-01/END-01 inventories</t>
  </si>
  <si>
    <t xml:space="preserve">Export billed items; diff against inventories; list unbilled managed items and billed non-existent items; raise with SDM/CAM.</t>
  </si>
  <si>
    <t xml:space="preserve">Zero unexplained differences; corrections raised.</t>
  </si>
  <si>
    <t xml:space="preserve">COV-02</t>
  </si>
  <si>
    <t xml:space="preserve">Monitoring coverage: every server, network device and critical service in Orion (LogicMonitor for cloud); muted/unmanaged nodes justified (they still consume licences)</t>
  </si>
  <si>
    <t xml:space="preserve">Unmonitored = discovered by the client. Handbook: validate monitoring before handover.</t>
  </si>
  <si>
    <t xml:space="preserve">Orion node list and unmanaged nodes; LogicMonitor; SRV-01 inventory; KB0011149</t>
  </si>
  <si>
    <t xml:space="preserve">Diff inventory vs monitored nodes; review unmanaged/muted list with reasons and dates; raise Catalogue Tasks for onboarding gaps.</t>
  </si>
  <si>
    <t xml:space="preserve">100% of in-scope CIs monitored; muted list clean.</t>
  </si>
  <si>
    <t xml:space="preserve">COV-03</t>
  </si>
  <si>
    <t xml:space="preserve">Monitoring quality: application/service monitors for critical apps (not just ping/CPU), thresholds tuned, top alerters reviewed, alerts map to runbooks, SSL/domain/backup monitors present</t>
  </si>
  <si>
    <t xml:space="preserve">Noisy or shallow monitoring trains the NOC to ignore the real one.</t>
  </si>
  <si>
    <t xml:space="preserve">Orion application monitors (SAM); alert history 30 days; NOC runbooks in SNOW KB</t>
  </si>
  <si>
    <t xml:space="preserve">List critical apps (PROFILE) and check each has a service-level monitor; top 10 alerting nodes and whether they are actioned; certificate and backup monitors exist.</t>
  </si>
  <si>
    <t xml:space="preserve">Service-level monitoring for all tier-1 apps; noise actioned.</t>
  </si>
  <si>
    <t xml:space="preserve">COV-04</t>
  </si>
  <si>
    <t xml:space="preserve">Patching coverage: every server and endpoint in an N-Central patch policy; devices not checked in &gt; 30 days; approvals and windows documented; exclusions justified</t>
  </si>
  <si>
    <t xml:space="preserve">Patching only works on the devices the tool can see.</t>
  </si>
  <si>
    <t xml:space="preserve">N-Central device list, patch policy membership, last check-in; STACK.md patch windows</t>
  </si>
  <si>
    <t xml:space="preserve">Devices without a policy; stale agents; exclusions list with reason and expiry; window documented per client and communicated.</t>
  </si>
  <si>
    <t xml:space="preserve">100% policy membership; &lt; 3% stale agents; exclusions dated.</t>
  </si>
  <si>
    <t xml:space="preserve">PO, PA</t>
  </si>
  <si>
    <t xml:space="preserve">COV-05</t>
  </si>
  <si>
    <t xml:space="preserve">Security tooling coverage vs contract: EDR, Huntress, Rapid7, Airlock, Mimecast seat counts vs devices/users; agents missing; SIEM log sources (DCs, firewalls, M365) actually ingesting</t>
  </si>
  <si>
    <t xml:space="preserve">Paid-for seats not deployed are both a security gap and an awkward renewal conversation.</t>
  </si>
  <si>
    <t xml:space="preserve">Each console's device/user count; eFO subscription quantities; Rapid7 IDR data collection health</t>
  </si>
  <si>
    <t xml:space="preserve">Table product | licensed | deployed | healthy; list uncovered devices; confirm log sources with recent events.</t>
  </si>
  <si>
    <t xml:space="preserve">Deployed = licensed = devices; all core log sources live.</t>
  </si>
  <si>
    <t xml:space="preserve">COV-06</t>
  </si>
  <si>
    <t xml:space="preserve">Ticket and incident trends: last 90 days incidents by CI/category, repeat offenders raised as problem records, P1/P2 count, SLA breaches, noisy CIs recorded in PROBLEMS.md</t>
  </si>
  <si>
    <t xml:space="preserve">Recurring incidents are the cheapest improvement opportunities and the client's lived experience of bA.</t>
  </si>
  <si>
    <t xml:space="preserve">SNOW reports (customer account); PROBLEMS.md; LOG.md</t>
  </si>
  <si>
    <t xml:space="preserve">Pull incident list; group by CI and category; anything &gt;= 3 in 90 days -&gt; problem record + PROBLEMS.md signature; note SLA breaches and causes.</t>
  </si>
  <si>
    <t xml:space="preserve">Top repeat issues have problem records and owners.</t>
  </si>
  <si>
    <t xml:space="preserve">COV-07</t>
  </si>
  <si>
    <t xml:space="preserve">Change and configuration discipline: changes go through RFCs, CIs updated after changes, config drift reports (Orion NCM / FortiManager) reviewed, unauthorised change evidence investigated</t>
  </si>
  <si>
    <t xml:space="preserve">Undocumented change is the most common root cause in post-incident reviews.</t>
  </si>
  <si>
    <t xml:space="preserve">SNOW change records vs config revision history; NCM/FortiManager drift; LOG.md</t>
  </si>
  <si>
    <t xml:space="preserve">Sample last 10 config revisions on firewall/switches and match to RFCs; CIs updated for recent builds/decoms.</t>
  </si>
  <si>
    <t xml:space="preserve">Changes traceable to RFCs; drift reviewed monthly.</t>
  </si>
  <si>
    <t xml:space="preserve">COV-08</t>
  </si>
  <si>
    <t xml:space="preserve">bA access hygiene: bA credentials in CyberArk customer safe current and rotating, RDM nodes valid, no stale bA accounts in client AD/Entra, GDAP not expiring, offboarded engineers removed</t>
  </si>
  <si>
    <t xml:space="preserve">bA's own access is part of the client's attack surface and is in scope for their auditors.</t>
  </si>
  <si>
    <t xml:space="preserve">CyberArk PVWA (customer safe); RDM; client AD/Entra admin accounts named for bA staff; Lighthouse GDAP expiry</t>
  </si>
  <si>
    <t xml:space="preserve">List bA-named accounts in the client environment; compare with current squad; rotation dates; GDAP expiry; jump host access.</t>
  </si>
  <si>
    <t xml:space="preserve">Only current staff, rotated credentials, GDAP &gt; 90 days.</t>
  </si>
  <si>
    <t xml:space="preserve">COV-09</t>
  </si>
  <si>
    <t xml:space="preserve">Escalation and contact matrix current: client technical/business/after-hours contacts, vendor support contracts and numbers (ISP, Fortinet, Microsoft, LoB vendors), CrowdStrike uninstall-key process, documented in SNOW account and PROFILE.md</t>
  </si>
  <si>
    <t xml:space="preserve">P1s are lost in the first 30 minutes looking for a phone number.</t>
  </si>
  <si>
    <t xml:space="preserve">SNOW customer account contacts; PROFILE.md; SharePoint contract docs</t>
  </si>
  <si>
    <t xml:space="preserve">Verify each contact and vendor entry; confirm after-hours path; confirm P1 gotchas (EDR uninstall keys, ISP account numbers) are written down.</t>
  </si>
  <si>
    <t xml:space="preserve">Verified in last 6 months.</t>
  </si>
  <si>
    <t xml:space="preserve">COV-10</t>
  </si>
  <si>
    <t xml:space="preserve">Reporting and cadence delivered: monthly Intune/M365 usage and Defender reports issued and read, quarterly M365 Health Report top-3 acted on, operational/strategic meetings held on cadence</t>
  </si>
  <si>
    <t xml:space="preserve">Reports that are generated but not discussed are cost without value; the cadence is where billable work is agreed.</t>
  </si>
  <si>
    <t xml:space="preserve">SharePoint report folder; LOG.md meeting entries; COMMITMENTS.md; PROFILE.md meeting_cadence</t>
  </si>
  <si>
    <t xml:space="preserve">Check last three months of reports exist and were discussed; last quarterly review date and outcomes; overdue commitments from those meetings.</t>
  </si>
  <si>
    <t xml:space="preserve">Cadence held; actions tracked to closure.</t>
  </si>
  <si>
    <t xml:space="preserve">SEC-01</t>
  </si>
  <si>
    <t xml:space="preserve">SEC</t>
  </si>
  <si>
    <t xml:space="preserve">Security Programme &amp; Essential Eight</t>
  </si>
  <si>
    <t xml:space="preserve">Essential Eight target maturity agreed with the client (ML1 baseline; ML2 for regulated/critical) and documented; exceptions register with compensating controls</t>
  </si>
  <si>
    <t xml:space="preserve">A target turns the E8 from a scorecard into a plan and makes remediation fundable.</t>
  </si>
  <si>
    <t xml:space="preserve">PROFILE.md / strategic_notes; client policy or board paper; SEC-09 compliance drivers; last E8 assessment if any</t>
  </si>
  <si>
    <t xml:space="preserve">Confirm whether a target exists; if not, propose ML1 (or ML2 where APRA/SOCI/government supply chain applies) and record the client's decision with date.</t>
  </si>
  <si>
    <t xml:space="preserve">Target agreed in writing; exceptions documented.</t>
  </si>
  <si>
    <t xml:space="preserve">SEC-02</t>
  </si>
  <si>
    <t xml:space="preserve">MDR/SOC and detection: Huntress (endpoint + M365 ITDR) and/or Rapid7 IDR deployed with full coverage, response hours defined, alert-to-action process, log retention &gt;= 12 months</t>
  </si>
  <si>
    <t xml:space="preserve">E8 ML2 expects events analysed in a timely manner; detection without response capacity is theatre.</t>
  </si>
  <si>
    <t xml:space="preserve">Huntress portal; Rapid7 IDR (log sources, investigations); SoW for response scope; PROBLEMS.md</t>
  </si>
  <si>
    <t xml:space="preserve">Coverage % per tool; who responds after hours; mean time from alert to ticket over 90 days; log sources: DCs, firewalls, M365, EDR, VPN.</t>
  </si>
  <si>
    <t xml:space="preserve">Coverage 100%, defined response, core sources logging.</t>
  </si>
  <si>
    <t xml:space="preserve">SEC-03</t>
  </si>
  <si>
    <t xml:space="preserve">Central logging and log protection: event logs centralised (Rapid7/Sentinel/other), protected from tampering, MFA/privileged/application-control events logged, PowerShell and command-line logging (E8 ML2)</t>
  </si>
  <si>
    <t xml:space="preserve">Without protected central logs, incident scope cannot be determined and insurers will not pay.</t>
  </si>
  <si>
    <t xml:space="preserve">SIEM log sources and retention; audit policy GPO/Intune (4688 with command line, PowerShell 4104); Entra diagnostic settings</t>
  </si>
  <si>
    <t xml:space="preserve">Confirm sources and retention; check advanced audit policy on servers/endpoints; Entra sign-in/audit logs exported beyond 30 days.</t>
  </si>
  <si>
    <t xml:space="preserve">Central, protected, &gt;= 12 months, ML2 event classes captured.</t>
  </si>
  <si>
    <t xml:space="preserve">UAH, RAP, MFA, AC</t>
  </si>
  <si>
    <t xml:space="preserve">SEC-04</t>
  </si>
  <si>
    <t xml:space="preserve">Vulnerability management programme: authenticated scanning across servers, endpoints and network devices (Rapid7 IVM / Defender VM), cadence per E8 ML1, remediation SLAs tracked, exception process</t>
  </si>
  <si>
    <t xml:space="preserve">E8 ML1 mandates scanning cadence; unowned findings age silently.</t>
  </si>
  <si>
    <t xml:space="preserve">Rapid7 IVM sites and schedules; Defender VM; remediation tickets in SNOW; exception register</t>
  </si>
  <si>
    <t xml:space="preserve">Scope vs inventory; scan frequency; critical/high ageing; who owns remediation (bA BAU vs billable vs client); trend over 2 quarters.</t>
  </si>
  <si>
    <t xml:space="preserve">Full-scope scanning on cadence; SLAs met; exceptions dated.</t>
  </si>
  <si>
    <t xml:space="preserve">SEC-05</t>
  </si>
  <si>
    <t xml:space="preserve">External attack surface and credential exposure: LionGard/Rapid7 external view, leaked-credential monitoring for the domain, look-alike domain watch</t>
  </si>
  <si>
    <t xml:space="preserve">Attackers start from the outside; so should the review.</t>
  </si>
  <si>
    <t xml:space="preserve">LionGard; Rapid7 external scan; HIBP domain search; Mimecast brand protection / DMARC reports</t>
  </si>
  <si>
    <t xml:space="preserve">Review external inventory for unknown assets; check breached-credential results and whether affected users reset passwords; note typosquat domains seen in DMARC reports.</t>
  </si>
  <si>
    <t xml:space="preserve">No unknown external assets; breached credentials remediated.</t>
  </si>
  <si>
    <t xml:space="preserve">SEC-06</t>
  </si>
  <si>
    <t xml:space="preserve">Security awareness: phishing simulation and training programme running (Huntress SAT / KnowBe4 / Defender Attack Simulation), report-phish button deployed, results trending</t>
  </si>
  <si>
    <t xml:space="preserve">Users are the control of last resort for BEC and consent phishing.</t>
  </si>
  <si>
    <t xml:space="preserve">Training platform reports; Outlook report-message add-in deployment; Mimecast/Defender user-reported messages</t>
  </si>
  <si>
    <t xml:space="preserve">Programme exists and covers all users; last campaign click rate; reporting button deployed and used.</t>
  </si>
  <si>
    <t xml:space="preserve">Quarterly campaigns; click rate trending down; reporting in use.</t>
  </si>
  <si>
    <t xml:space="preserve">SEC-07</t>
  </si>
  <si>
    <t xml:space="preserve">Incident response readiness: client IR plan and bA runbook exist, roles and contacts, cyber-insurance conditions met (MFA, EDR, backups, patching), OAIC notifiable-data-breach and ASD reporting obligations understood, tabletop exercised</t>
  </si>
  <si>
    <t xml:space="preserve">E8 ML2 requires an IR plan to be enacted; insurers now audit the conditions they underwrote.</t>
  </si>
  <si>
    <t xml:space="preserve">SNOW KB IR runbook; client IR plan; insurance policy conditions (client); LOG.md tabletop entry</t>
  </si>
  <si>
    <t xml:space="preserve">Locate plan and check date; map insurer conditions to controls in this review; confirm who calls whom; last exercise date.</t>
  </si>
  <si>
    <t xml:space="preserve">Plan &lt; 12 months, insurer conditions evidenced, tabletop annually.</t>
  </si>
  <si>
    <t xml:space="preserve">SEC-08</t>
  </si>
  <si>
    <t xml:space="preserve">Privileged access process (E8 RAP): requests validated on first grant, revalidated at 12 months, disabled after 45 days inactivity (ML2), privileged accounts have no internet/email, break-glass/service/local admin credentials long, unique and managed</t>
  </si>
  <si>
    <t xml:space="preserve">RAP is the E8 strategy most dependent on process rather than product; process is what auditors test.</t>
  </si>
  <si>
    <t xml:space="preserve">Access request tickets (SNOW); AD/Entra privileged account last-logon; CA policy blocking web/mail for admin accounts; LAPS/CyberArk</t>
  </si>
  <si>
    <t xml:space="preserve">Sample privileged accounts for a request record; last sign-in &gt; 45 days still enabled; admin accounts with mailboxes/internet access; credential management for service and local accounts.</t>
  </si>
  <si>
    <t xml:space="preserve">Process evidenced; no stale privileged accounts; admins isolated from email/web.</t>
  </si>
  <si>
    <t xml:space="preserve">SEC-09</t>
  </si>
  <si>
    <t xml:space="preserve">Governance and compliance drivers: information security / acceptable use / access policies current; obligations identified (Privacy Act reforms, APRA CPS 234, SOCI, ISO 27001, PCI DSS); cyber-insurance renewal date known</t>
  </si>
  <si>
    <t xml:space="preserve">Drivers determine the target maturity and who pays for remediation.</t>
  </si>
  <si>
    <t xml:space="preserve">Client policy set (SharePoint/intranet); PROFILE.md sector and obligations; strategic_notes</t>
  </si>
  <si>
    <t xml:space="preserve">List applicable obligations with the client's IT lead/SDM; policy review dates; insurance renewal month (proposal timing).</t>
  </si>
  <si>
    <t xml:space="preserve">Drivers documented; policies &lt; 24 months old.</t>
  </si>
  <si>
    <t xml:space="preserve">SEC-10</t>
  </si>
  <si>
    <t xml:space="preserve">Physical and environmental: comms/server room access control, UPS runtime and battery age, cooling and environmental monitoring, cabling labelled, camera coverage</t>
  </si>
  <si>
    <t xml:space="preserve">A failed UPS battery is the most common cause of an unplanned full outage in mid-market.</t>
  </si>
  <si>
    <t xml:space="preserve">Site visit / Field Services report; UPS management card in Orion; PROFILE.md sites</t>
  </si>
  <si>
    <t xml:space="preserve">UPS model, battery date, runtime under load, monitored; room access method; temperature alerting; labelling standard.</t>
  </si>
  <si>
    <t xml:space="preserve">Monitored UPS with batteries &lt; 4 years; controlled access; environmental alerts.</t>
  </si>
  <si>
    <t xml:space="preserve">SEC-11</t>
  </si>
  <si>
    <t xml:space="preserve">Defender / Secure Score remediation tracked: monthly Defender report recommendations (ASR first, then client-prioritised) have owners; risk-accepted items marked in the portal</t>
  </si>
  <si>
    <t xml:space="preserve">Handbook: Defender recommendations are outside BAMS remediation scope - they are the billable pipeline if tracked, noise if not.</t>
  </si>
  <si>
    <t xml:space="preserve">Monthly Defender report; Defender portal Secure Score history; OPPORTUNITIES.md</t>
  </si>
  <si>
    <t xml:space="preserve">Take last report; classify each recommendation BAU / billable / client-owned / risk-accepted; confirm portal status updated.</t>
  </si>
  <si>
    <t xml:space="preserve">Every recommendation has a disposition and owner.</t>
  </si>
  <si>
    <t xml:space="preserve">SEC-12</t>
  </si>
  <si>
    <t xml:space="preserve">Third-party and vendor remote access: inventory of vendors with access (VPN accounts, TeamViewer/AnyDesk/ScreenConnect, RMM), MFA and time-bounding, monitoring, unsanctioned remote tools blocked</t>
  </si>
  <si>
    <t xml:space="preserve">Vendor remote tools are the supply-chain door left open; application control should close the unsanctioned ones.</t>
  </si>
  <si>
    <t xml:space="preserve">VPN user groups; EDR/software inventory for remote tools; firewall logs; Airlock policy</t>
  </si>
  <si>
    <t xml:space="preserve">List vendors and their access path; standing vs JIT; MFA; last use; remote-support tools present on devices vs approved list.</t>
  </si>
  <si>
    <t xml:space="preserve">Every vendor path documented, MFA'd and reviewed; unsanctioned tools blocked.</t>
  </si>
  <si>
    <t xml:space="preserve">AZ-01</t>
  </si>
  <si>
    <t xml:space="preserve">AZ</t>
  </si>
  <si>
    <t xml:space="preserve">Azure &amp; Cloud</t>
  </si>
  <si>
    <t xml:space="preserve">Azure governance: subscriptions and management groups documented, tagging (owner, cost centre, environment) enforced, naming standard, resource locks on critical resources, Azure Lighthouse delegation to bA</t>
  </si>
  <si>
    <t xml:space="preserve">Ungoverned subscriptions grow cost and risk quietly; Lighthouse (KB0016370) is how bA supports them properly.</t>
  </si>
  <si>
    <t xml:space="preserve">Azure portal via Azure Lighthouse (bA admin / EBG creds); Azure Policy compliance; Resource Graph</t>
  </si>
  <si>
    <t xml:space="preserve">List subscriptions and owners; tag compliance %; locks on prod resources; Lighthouse delegation present with correct roles.</t>
  </si>
  <si>
    <t xml:space="preserve">Documented, tagged &gt;= 90%, locked, delegated.</t>
  </si>
  <si>
    <t xml:space="preserve">AZ-02</t>
  </si>
  <si>
    <t xml:space="preserve">Azure RBAC and identities: Owner/Contributor at subscription scope limited and named, PIM for Azure roles where licensed, no classic administrators, service principal secrets/certificates with expiry tracked, managed identities preferred</t>
  </si>
  <si>
    <t xml:space="preserve">Subscription Owner is the cloud equivalent of Domain Admin.</t>
  </si>
  <si>
    <t xml:space="preserve">Subscription &gt; Access control (IAM); PIM; Entra &gt; App registrations (credential expiry)</t>
  </si>
  <si>
    <t xml:space="preserve">Count Owners/Contributors; users vs groups; classic admins; app registrations with secrets expiring &lt; 90 days or never expiring.</t>
  </si>
  <si>
    <t xml:space="preserve">Least privilege, group-based, PIM'd; secrets tracked.</t>
  </si>
  <si>
    <t xml:space="preserve">AZ-03</t>
  </si>
  <si>
    <t xml:space="preserve">Azure cost management: budgets and alerts set, monthly spend trend, Advisor cost recommendations actioned (right-size, reservations/savings plans, orphaned disks/IPs/NICs, stopped-not-deallocated VMs), Hybrid Benefit applied</t>
  </si>
  <si>
    <t xml:space="preserve">Cloud cost optimisation is the most welcome value-add conversation a PE can start.</t>
  </si>
  <si>
    <t xml:space="preserve">Cost Management + Billing; Advisor &gt; Cost; Resource Graph queries for orphaned resources</t>
  </si>
  <si>
    <t xml:space="preserve">Record last 6 months spend; list Advisor savings; orphaned resources count and cost; AHUB eligibility vs usage.</t>
  </si>
  <si>
    <t xml:space="preserve">Budget alerts on; Advisor cost items dispositioned; no orphaned spend.</t>
  </si>
  <si>
    <t xml:space="preserve">AZ-04</t>
  </si>
  <si>
    <t xml:space="preserve">Azure security posture: Defender for Cloud secure score, Defender plans on for servers/SQL/storage where warranted, JIT VM access, no public RDP/SSH in NSGs, storage accounts not anonymous, TLS 1.2 minimum, secrets in Key Vault, diagnostics to Log Analytics</t>
  </si>
  <si>
    <t xml:space="preserve">Exposed management ports and public storage are the two most exploited Azure misconfigurations.</t>
  </si>
  <si>
    <t xml:space="preserve">Defender for Cloud &gt; Recommendations; NSG rules; Storage account settings; Activity log diagnostic settings</t>
  </si>
  <si>
    <t xml:space="preserve">Secure score and top recommendations; NSG rules allowing 3389/22 from Internet; storage public access; Key Vault usage; diagnostic settings on subscription.</t>
  </si>
  <si>
    <t xml:space="preserve">No internet-exposed management ports; storage locked; diagnostics on; plans enabled for tier-1.</t>
  </si>
  <si>
    <t xml:space="preserve">AZ-05</t>
  </si>
  <si>
    <t xml:space="preserve">Azure resilience and backup: Azure Backup on all VMs with soft delete/immutability, ASR or availability zones for tier-1, PaaS SQL PITR/geo-redundancy aligned to RPO, VM agents and extensions healthy</t>
  </si>
  <si>
    <t xml:space="preserve">Cloud does not mean backed up; E8 RB applies equally to IaaS.</t>
  </si>
  <si>
    <t xml:space="preserve">Recovery Services vault (backup items, alerts); ASR replication health; SQL database backup settings; Azure Monitor VM agent health</t>
  </si>
  <si>
    <t xml:space="preserve">List VMs vs protected items; soft delete and immutability state; last successful backup per item; replication health for tier-1.</t>
  </si>
  <si>
    <t xml:space="preserve">100% VM coverage; immutable; tier-1 DR configured.</t>
  </si>
  <si>
    <t xml:space="preserve">AZ-06</t>
  </si>
  <si>
    <t xml:space="preserve">Azure networking: topology documented (hub/spoke or single VNet), NSG/ASG hygiene, Azure Firewall/NVA where needed, VPN/ExpressRoute redundancy, private endpoints for PaaS, private DNS design, public IP inventory</t>
  </si>
  <si>
    <t xml:space="preserve">Cloud networks accumulate the same flat-network problems as on-prem, faster.</t>
  </si>
  <si>
    <t xml:space="preserve">Network Watcher topology; NSG flow logs; VPN gateway status; Private endpoints; Public IP list</t>
  </si>
  <si>
    <t xml:space="preserve">Diagram vs deployed; internet-facing public IPs and their services; PaaS with public endpoints; gateway redundancy (active-active / zone-redundant).</t>
  </si>
  <si>
    <t xml:space="preserve">Documented, segmented, private endpoints for data services, redundant connectivity.</t>
  </si>
  <si>
    <t xml:space="preserve">AZ-07</t>
  </si>
  <si>
    <t xml:space="preserve">Azure operations: Azure Monitor alerts (VM heartbeat, disk, backup failure, cost) routed to bA (LogicMonitor), Azure Update Manager schedules, Arc for on-prem servers if in scope, Azure Policy baseline (allowed locations, required tags)</t>
  </si>
  <si>
    <t xml:space="preserve">Azure resources without alert routing are unmonitored in every way that matters (COV-02 for cloud).</t>
  </si>
  <si>
    <t xml:space="preserve">Azure Monitor &gt; Alerts/Action groups; LogicMonitor Azure integration; Update Manager compliance; Policy assignments</t>
  </si>
  <si>
    <t xml:space="preserve">Action groups point to bA; heartbeat/backup alerts exist; Update Manager schedule per VM; policy compliance %.</t>
  </si>
  <si>
    <t xml:space="preserve">Alerts to bA, patching scheduled, policy baseline assigned.</t>
  </si>
  <si>
    <t xml:space="preserve">AZ-08</t>
  </si>
  <si>
    <t xml:space="preserve">Other cloud and SaaS: AWS/GCP footprint (if any) with equivalent controls; critical SaaS inventory (owner, SSO, backup, contract, data location); shadow IT discovery via Defender for Cloud Apps or firewall logs</t>
  </si>
  <si>
    <t xml:space="preserve">The ERP in someone's credit-card SaaS is a business risk nobody owns.</t>
  </si>
  <si>
    <t xml:space="preserve">PROFILE.md applications; Defender for Cloud Apps discovery; firewall application control logs; eFO</t>
  </si>
  <si>
    <t xml:space="preserve">Build the SaaS register with the client's IT lead; check SSO/MFA and backup per app; run/review discovery report for unsanctioned apps.</t>
  </si>
  <si>
    <t xml:space="preserve">Register exists; tier-1 SaaS on SSO with backup; shadow IT reviewed.</t>
  </si>
  <si>
    <t xml:space="preserve">MFA, RB</t>
  </si>
  <si>
    <t xml:space="preserve">DOC-01</t>
  </si>
  <si>
    <t xml:space="preserve">DOC</t>
  </si>
  <si>
    <t xml:space="preserve">Documentation &amp; Operational Hygiene</t>
  </si>
  <si>
    <t xml:space="preserve">Critical infrastructure documentation currency: per-customer SNOW KB articles for AD, network, backup, firewall and key apps updated within 1 month of change; services docs within 3 months; as-builts for recent projects</t>
  </si>
  <si>
    <t xml:space="preserve">Handbook priority 14; stale docs are the first thing a P1 exposes.</t>
  </si>
  <si>
    <t xml:space="preserve">SNOW Knowledge (customer KBs); SharePoint Technical folder; Confluence legacy (read-only); project As-Built docs</t>
  </si>
  <si>
    <t xml:space="preserve">List critical docs with last-modified dates vs last change dates (LOG.md/RFCs); raise tickets for anything overdue; note legacy-Confluence content needing migration.</t>
  </si>
  <si>
    <t xml:space="preserve">All critical docs within currency windows; nothing critical left in Confluence only.</t>
  </si>
  <si>
    <t xml:space="preserve">DOC-02</t>
  </si>
  <si>
    <t xml:space="preserve">Architecture and network diagrams current, versioned in SharePoint Technical docs, and linked from SNOW KB</t>
  </si>
  <si>
    <t xml:space="preserve">Handbook: network changes must update diagrams and fix links to versioned docs.</t>
  </si>
  <si>
    <t xml:space="preserve">SharePoint Technical docs; SNOW KB links; NET-01</t>
  </si>
  <si>
    <t xml:space="preserve">Open each diagram; compare to known topology; check links resolve; version/date on the drawing.</t>
  </si>
  <si>
    <t xml:space="preserve">Current, versioned, linked.</t>
  </si>
  <si>
    <t xml:space="preserve">DOC-03</t>
  </si>
  <si>
    <t xml:space="preserve">Credential handling: all client credentials in CyberArk customer safes, none in documents, tickets, email or Confluence; rotation on staff exit (both sides); break-glass procedure documented</t>
  </si>
  <si>
    <t xml:space="preserve">Credentials in KBs and tickets are the finding that ends a contract.</t>
  </si>
  <si>
    <t xml:space="preserve">CyberArk PVWA; keyword sweep of SNOW KB/SharePoint/Confluence for 'password'; DOC-01</t>
  </si>
  <si>
    <t xml:space="preserve">Search documentation for embedded credentials; confirm each system in scope has a CyberArk entry; rotation events logged after the last engineer change.</t>
  </si>
  <si>
    <t xml:space="preserve">Zero credentials outside the vault; rotation evidenced.</t>
  </si>
  <si>
    <t xml:space="preserve">DOC-04</t>
  </si>
  <si>
    <t xml:space="preserve">Runbooks and known-issue KBs: top 5 recurring ticket types have KBs, P1 runbooks exist (DR failover, ISP failover, EDR uninstall key, tenant lock-out), problem records for recurring issues</t>
  </si>
  <si>
    <t xml:space="preserve">Handbook escalation rule: would better documentation have prevented this? Usually yes.</t>
  </si>
  <si>
    <t xml:space="preserve">SNOW KB; COV-06 ticket trends; PROBLEMS.md; SNOW problem records</t>
  </si>
  <si>
    <t xml:space="preserve">Map top recurring categories to a KB; check each P1 scenario has a written procedure; problem records exist for PROBLEMS.md signatures.</t>
  </si>
  <si>
    <t xml:space="preserve">KBs for top-5; P1 runbooks complete; problem records raised.</t>
  </si>
  <si>
    <t xml:space="preserve">DOC-05</t>
  </si>
  <si>
    <t xml:space="preserve">Configuration management: SNOW CIs accurate (owner, environment, criticality, IP/NAT IP), relationships/dependency map for tier-1 services, eFO/SNOW sync gaps closed</t>
  </si>
  <si>
    <t xml:space="preserve">CI quality drives impact assessment in change and incident; the sync gap is a known handbook issue.</t>
  </si>
  <si>
    <t xml:space="preserve">SNOW CMDB (customer account); eFO Cloud Services; SRV-01</t>
  </si>
  <si>
    <t xml:space="preserve">Sample 10 CIs for completeness; check tier-1 services have dependency relationships; list CIs missing NAT IP or BAMS code.</t>
  </si>
  <si>
    <t xml:space="preserve">Complete CIs; tier-1 dependency map; no sync gaps.</t>
  </si>
  <si>
    <t xml:space="preserve">DOC-06</t>
  </si>
  <si>
    <t xml:space="preserve">Standards documented: SOE/build standards, naming conventions, patch and change windows, maintenance calendar, client-specific decommission guide</t>
  </si>
  <si>
    <t xml:space="preserve">Standards make work repeatable by any engineer, not just the one who knows.</t>
  </si>
  <si>
    <t xml:space="preserve">SNOW KB; SharePoint; STACK.md</t>
  </si>
  <si>
    <t xml:space="preserve">Locate each standard; note missing ones; confirm windows in STACK.md match what the NOC/patching actually uses.</t>
  </si>
  <si>
    <t xml:space="preserve">All six exist and match practice.</t>
  </si>
  <si>
    <t xml:space="preserve">DOC-07</t>
  </si>
  <si>
    <t xml:space="preserve">Knowledge risk: single points of knowledge (client side and bA side), documented split of responsibilities (client IT vs bA RACI), informal 'helpers' with admin rights identified</t>
  </si>
  <si>
    <t xml:space="preserve">The most fragile part of most environments is one person.</t>
  </si>
  <si>
    <t xml:space="preserve">PROFILE.md contacts and roles; SoW responsibilities matrix; IAM-05 privileged list</t>
  </si>
  <si>
    <t xml:space="preserve">Name the people who alone understand tier-1 systems; check RACI exists; identify non-IT staff with admin rights.</t>
  </si>
  <si>
    <t xml:space="preserve">SPOKs named and mitigated; RACI documented.</t>
  </si>
  <si>
    <t xml:space="preserve">DOC-08</t>
  </si>
  <si>
    <t xml:space="preserve">Licence and contract records: software licence register (Microsoft CSP/EA, VMware, Veeam, Fortinet, Adobe, LoB apps) with proof and renewal dates; SoW/BAMS scope accessible to the squad</t>
  </si>
  <si>
    <t xml:space="preserve">Renewal surprises and true-up exposure are avoidable with a register.</t>
  </si>
  <si>
    <t xml:space="preserve">SharePoint Commercial docs; eFO annuity; vendor portals; LIC-03</t>
  </si>
  <si>
    <t xml:space="preserve">Build or verify the register; missing proofs; renewals &lt; 90 days without an owner.</t>
  </si>
  <si>
    <t xml:space="preserve">Register complete; every renewal owned.</t>
  </si>
  <si>
    <t xml:space="preserve">DOC-09</t>
  </si>
  <si>
    <t xml:space="preserve">Risk communication: technical risks with business consequence recorded (OPPORTUNITIES.md / client risk register), formally notified to SDM and CAM with dates, client risk-acceptance recorded where declined</t>
  </si>
  <si>
    <t xml:space="preserve">Handbook priority 5: risks -&gt; SDM &amp; CAM. A risk not written down is bA's risk.</t>
  </si>
  <si>
    <t xml:space="preserve">OPPORTUNITIES.md; COMMITMENTS.md; email/Teams notification to SDM/CAM; client risk register</t>
  </si>
  <si>
    <t xml:space="preserve">For each High-risk gap in this review, check it has been notified and either planned or accepted in writing.</t>
  </si>
  <si>
    <t xml:space="preserve">All High risks notified and dispositioned.</t>
  </si>
  <si>
    <t xml:space="preserve">LIC-01</t>
  </si>
  <si>
    <t xml:space="preserve">LIC</t>
  </si>
  <si>
    <t xml:space="preserve">Lifecycle, Licensing &amp; Commercial</t>
  </si>
  <si>
    <t xml:space="preserve">Hardware lifecycle register: servers, storage, network, UPS, endpoints - purchase date, warranty/support end, replacement year, budget signalled to SDM/CAM</t>
  </si>
  <si>
    <t xml:space="preserve">Refresh projects are the most predictable billable pipeline and the most avoidable outages.</t>
  </si>
  <si>
    <t xml:space="preserve">Dell/HP warranty lookups; Fortinet/Meraki/Aruba EoS; vCenter hardware; END-16</t>
  </si>
  <si>
    <t xml:space="preserve">Populate or verify the register; flag anything out of support or within 12 months; map to FY budget cycle.</t>
  </si>
  <si>
    <t xml:space="preserve">Register current; nothing out of support without a plan.</t>
  </si>
  <si>
    <t xml:space="preserve">LIC-02</t>
  </si>
  <si>
    <t xml:space="preserve">Software and OS lifecycle register: Windows/Server/SQL/Exchange/vSphere/Veeam/FortiOS versions with EoS dates; anything already past EoS (e.g. SQL 2016 since 14 Jul 2026, vSphere 7 since 2 Oct 2025) or within 12 months (e.g. Server 2016 on 12 Jan 2027) flagged</t>
  </si>
  <si>
    <t xml:space="preserve">E8 PO/PA require unsupported software removed; planning 12 months out turns emergencies into projects.</t>
  </si>
  <si>
    <t xml:space="preserve">SRV-02, SRV-06, SRV-09, NET-02 outputs; Microsoft Lifecycle; vendor lifecycle pages</t>
  </si>
  <si>
    <t xml:space="preserve">Consolidate versions from the domain checks; add EoS dates; sort by date; note migration option and rough effort.</t>
  </si>
  <si>
    <t xml:space="preserve">Register current; every &lt; 12-month item has a plan.</t>
  </si>
  <si>
    <t xml:space="preserve">LIC-03</t>
  </si>
  <si>
    <t xml:space="preserve">Renewals calendar: M365 CSP/NCE anniversaries, FortiCare/FortiGuard, Meraki/Aruba Central, Veeam, EDR/Huntress/Rapid7/Mimecast, domains and certificates - items &gt; 90 days out surfaced to SDM/CAM</t>
  </si>
  <si>
    <t xml:space="preserve">Lapsed FortiGuard or Central licences silently disable security features; NCE terms lock pricing.</t>
  </si>
  <si>
    <t xml:space="preserve">eFO annuity/Cloud Services; vendor portals; GeoCerts; TPP</t>
  </si>
  <si>
    <t xml:space="preserve">List each subscription with end date and owner; anything &lt; 90 days without an eFO renewal opportunity -&gt; raise.</t>
  </si>
  <si>
    <t xml:space="preserve">Calendar complete; nothing lapses unplanned.</t>
  </si>
  <si>
    <t xml:space="preserve">LIC-04</t>
  </si>
  <si>
    <t xml:space="preserve">Licence compliance and optimisation: M365 assigned vs active, Windows Server/RDS CALs, SQL core licensing on VMs, VMware subscription status, Azure Hybrid Benefit; true-up exposure</t>
  </si>
  <si>
    <t xml:space="preserve">Both over-spend and non-compliance are findings the client will thank you for.</t>
  </si>
  <si>
    <t xml:space="preserve">M365-10; RD Licensing; SQL edition/core counts; VMware portal; Azure Cost Management</t>
  </si>
  <si>
    <t xml:space="preserve">Quantify unused licences (monthly $), CAL shortfalls, SQL VMs vs licences, VMware renewal terms.</t>
  </si>
  <si>
    <t xml:space="preserve">No material non-compliance; savings identified and proposed.</t>
  </si>
  <si>
    <t xml:space="preserve">LIC-05</t>
  </si>
  <si>
    <t xml:space="preserve">Technology roadmap: 12-24 month roadmap agreed with the client (refreshes, migrations, security uplift), aligned to business drivers, reviewed quarterly with SDM/CAM, feeding eFO opportunities</t>
  </si>
  <si>
    <t xml:space="preserve">Handbook priority 15: find billable items -&gt; leads. A roadmap is the structured version of that.</t>
  </si>
  <si>
    <t xml:space="preserve">Last quarterly/technology report; OPPORTUNITIES.md; eFO leads; strategic_notes</t>
  </si>
  <si>
    <t xml:space="preserve">Locate the roadmap; check items have quarters, owners and eFO leads; refresh from this review's findings.</t>
  </si>
  <si>
    <t xml:space="preserve">Roadmap exists, current, and every item has a lead or decision.</t>
  </si>
  <si>
    <t xml:space="preserve">LIC-06</t>
  </si>
  <si>
    <t xml:space="preserve">Capacity and budget cycle: headcount/site change plans, storage and bandwidth growth, M365 storage quotas, client financial year and budget submission dates captured so proposals land before budgeting</t>
  </si>
  <si>
    <t xml:space="preserve">A good proposal delivered after the budget closes waits a year.</t>
  </si>
  <si>
    <t xml:space="preserve">PROFILE.md; SDM briefing; SRV-07; M365 admin storage reports</t>
  </si>
  <si>
    <t xml:space="preserve">Record FY and budget month; growth signals; storage/quota headroom; align roadmap items to the budget window.</t>
  </si>
  <si>
    <t xml:space="preserve">Budget window known; proposals timed.</t>
  </si>
  <si>
    <t xml:space="preserve">LIC-07</t>
  </si>
  <si>
    <t xml:space="preserve">Contract scope fit: BAMS inclusions vs what the client actually needs; out-of-scope work being absorbed as BAU (leakage); unused inclusions; SLA and after-hours coverage fit</t>
  </si>
  <si>
    <t xml:space="preserve">Scope drift is unbilled effort on one side and churn risk on the other.</t>
  </si>
  <si>
    <t xml:space="preserve">SoW/BAMS schedule; SNOW time entries and billable flags; COV-01; LOG.md Billable fields</t>
  </si>
  <si>
    <t xml:space="preserve">List recurring out-of-scope work from LOG/time entries; inclusions never used; SLA misfit examples; raise with SDM/CAM as scope uplift or reset.</t>
  </si>
  <si>
    <t xml:space="preserve">Scope matches reality; leakage quantified and raised.</t>
  </si>
  <si>
    <t xml:space="preserve">LIC-08</t>
  </si>
  <si>
    <t xml:space="preserve">Strategic risks logged: top risks with business consequence in OPPORTUNITIES.md and client risk register, communicated to SDM and CAM with dates, acceptance recorded when declined</t>
  </si>
  <si>
    <t xml:space="preserve">Closes the loop on the review: every High finding becomes a decision someone owns.</t>
  </si>
  <si>
    <t xml:space="preserve">OPPORTUNITIES.md; COMMITMENTS.md; DOC-09</t>
  </si>
  <si>
    <t xml:space="preserve">Take the P1/P2 findings from this review; confirm each has a consequence sentence, an owner and a notification date.</t>
  </si>
  <si>
    <t xml:space="preserve">All P1/P2 findings dispositioned.</t>
  </si>
  <si>
    <t xml:space="preserve">Summary - domain scorecard, Essential Eight indicative maturity, gap mix</t>
  </si>
  <si>
    <t xml:space="preserve">All figures compute from the Checklist. 'Score % of target' = attained score (capped at target) / target, over assessed controls only. RAG thresholds on Lists tab.</t>
  </si>
  <si>
    <t xml:space="preserve">Code</t>
  </si>
  <si>
    <t xml:space="preserve">Controls</t>
  </si>
  <si>
    <t xml:space="preserve">Assessed</t>
  </si>
  <si>
    <t xml:space="preserve">Not scored</t>
  </si>
  <si>
    <t xml:space="preserve">Coverage %</t>
  </si>
  <si>
    <t xml:space="preserve">Avg score</t>
  </si>
  <si>
    <t xml:space="preserve">Score % of target</t>
  </si>
  <si>
    <t xml:space="preserve">RAG</t>
  </si>
  <si>
    <t xml:space="preserve">Gaps</t>
  </si>
  <si>
    <t xml:space="preserve">P1</t>
  </si>
  <si>
    <t xml:space="preserve">P2</t>
  </si>
  <si>
    <t xml:space="preserve">Quick wins</t>
  </si>
  <si>
    <t xml:space="preserve">ALL</t>
  </si>
  <si>
    <t xml:space="preserve">Overall</t>
  </si>
  <si>
    <t xml:space="preserve">Gap mix</t>
  </si>
  <si>
    <t xml:space="preserve">Gaps by tag</t>
  </si>
  <si>
    <t xml:space="preserve">Count</t>
  </si>
  <si>
    <t xml:space="preserve">BAU  (service-delivery gaps - fix under BAMS)</t>
  </si>
  <si>
    <t xml:space="preserve">Billable  (remediation -&gt; eFO leads)</t>
  </si>
  <si>
    <t xml:space="preserve">Value-add  (do within the relationship)</t>
  </si>
  <si>
    <t xml:space="preserve">Client-owned  (client decision / risk acceptance)</t>
  </si>
  <si>
    <t xml:space="preserve">Gaps not yet tagged</t>
  </si>
  <si>
    <t xml:space="preserve">Gaps by 'Filed to'</t>
  </si>
  <si>
    <t xml:space="preserve">OPPORTUNITIES.md</t>
  </si>
  <si>
    <t xml:space="preserve">STACK debt register</t>
  </si>
  <si>
    <t xml:space="preserve">STACK verification backlog</t>
  </si>
  <si>
    <t xml:space="preserve">PROBLEMS.md</t>
  </si>
  <si>
    <t xml:space="preserve">eFO lead (via SDM)</t>
  </si>
  <si>
    <t xml:space="preserve">SNOW ticket</t>
  </si>
  <si>
    <t xml:space="preserve">Risk notified (SDM+CAM)</t>
  </si>
  <si>
    <t xml:space="preserve">Accepted by client</t>
  </si>
  <si>
    <t xml:space="preserve">No action</t>
  </si>
  <si>
    <t xml:space="preserve">Gaps with no 'Filed to' yet</t>
  </si>
  <si>
    <t xml:space="preserve">Gaps with Risk but no Recommendation</t>
  </si>
  <si>
    <t xml:space="preserve">Essential Eight - indicative maturity (weakest mapped control; not a formal ASD assessment)</t>
  </si>
  <si>
    <t xml:space="preserve">Mitigation strategy</t>
  </si>
  <si>
    <t xml:space="preserve">Mapped</t>
  </si>
  <si>
    <t xml:space="preserve">Weakest</t>
  </si>
  <si>
    <t xml:space="preserve">Indicative</t>
  </si>
  <si>
    <t xml:space="preserve">Reading: 0-1 = below ML1 on at least one mapped control; 2 = all mapped controls at baseline (~ML1); 3 = all at optimised (~ML2, verify formally). Formal assessments follow the ASD Essential Eight Assessment Process Guide.</t>
  </si>
  <si>
    <t xml:space="preserve">Patch applications</t>
  </si>
  <si>
    <t xml:space="preserve">Patch operating systems</t>
  </si>
  <si>
    <t xml:space="preserve">Multi-factor authentication</t>
  </si>
  <si>
    <t xml:space="preserve">Restrict administrative privileges</t>
  </si>
  <si>
    <t xml:space="preserve">Application control</t>
  </si>
  <si>
    <t xml:space="preserve">Restrict Microsoft Office macros</t>
  </si>
  <si>
    <t xml:space="preserve">User application hardening</t>
  </si>
  <si>
    <t xml:space="preserve">Regular backups</t>
  </si>
  <si>
    <t xml:space="preserve">CER-Discovery tool coverage (from the AutoEvidence tab via the Checklist 'Tool status' column)</t>
  </si>
  <si>
    <t xml:space="preserve">Tool status</t>
  </si>
  <si>
    <t xml:space="preserve">Collected (automated evidence)</t>
  </si>
  <si>
    <t xml:space="preserve">Partial (part automated)</t>
  </si>
  <si>
    <t xml:space="preserve">  of which flagged Attention</t>
  </si>
  <si>
    <t xml:space="preserve">Not run (collector not executed)</t>
  </si>
  <si>
    <t xml:space="preserve">Not collected (collector ran, nothing back)</t>
  </si>
  <si>
    <t xml:space="preserve">Manual (no automation in v1)</t>
  </si>
  <si>
    <t xml:space="preserve">AutoEvidence tab empty for control</t>
  </si>
  <si>
    <t xml:space="preserve">Export strip for the Portfolio tab - select the Value cells (P66:P77), copy, paste-special VALUES into the client's column on the Portfolio sheet.</t>
  </si>
  <si>
    <t xml:space="preserve">Label</t>
  </si>
  <si>
    <t xml:space="preserve">Findings - top 20 gaps by priority, and the Top-3 for this quarter</t>
  </si>
  <si>
    <t xml:space="preserve">Ranked automatically from the Checklist (P1 first, then sheet order). Rate Risk and Effort on every gap or it will not appear here. Top-3: choose the IDs; the text pulls through.</t>
  </si>
  <si>
    <t xml:space="preserve">key</t>
  </si>
  <si>
    <t xml:space="preserve">#</t>
  </si>
  <si>
    <t xml:space="preserve">Control</t>
  </si>
  <si>
    <t xml:space="preserve">Risk</t>
  </si>
  <si>
    <t xml:space="preserve">Effort</t>
  </si>
  <si>
    <t xml:space="preserve">Current state (excerpt)</t>
  </si>
  <si>
    <t xml:space="preserve">Top-3 priorities for this quarter (pick the ID; agree with the SDM; these go into the report and the quarterly conversation)</t>
  </si>
  <si>
    <t xml:space="preserve">Control (auto)</t>
  </si>
  <si>
    <t xml:space="preserve">Tag (auto)</t>
  </si>
  <si>
    <t xml:space="preserve">Recommendation (auto)</t>
  </si>
  <si>
    <t xml:space="preserve">Business consequence if not done (write it - one sentence the SDM can repeat)</t>
  </si>
  <si>
    <t xml:space="preserve">Proposed path (RFC / eFO lead / project) and by when</t>
  </si>
  <si>
    <t xml:space="preserve">What is working well (for the report - three things, with evidence):</t>
  </si>
  <si>
    <t xml:space="preserve">Roadmap - 30 / 90 / 180-day plan built from the findings</t>
  </si>
  <si>
    <t xml:space="preserve">Pick the ID; item, tag and effort pull through. 30 days = quick wins and BAU fixes; 90 days = RFC-able changes and small billable jobs; 180 days = projects needing budget (time them to the client's budget window, LIC-06).</t>
  </si>
  <si>
    <t xml:space="preserve">Horizon</t>
  </si>
  <si>
    <t xml:space="preserve">Item (auto)</t>
  </si>
  <si>
    <t xml:space="preserve">Owner / who does it</t>
  </si>
  <si>
    <t xml:space="preserve">Target date</t>
  </si>
  <si>
    <t xml:space="preserve">Status</t>
  </si>
  <si>
    <t xml:space="preserve">Ref (RFC / lead / ticket)</t>
  </si>
  <si>
    <t xml:space="preserve">Dependencies / notes</t>
  </si>
  <si>
    <t xml:space="preserve">Portfolio - heatmap across clients and pattern hunt</t>
  </si>
  <si>
    <t xml:space="preserve">Keep ONE master copy of this workbook for the portfolio. Row 5: type each client code. Section 1: paste each client's Summary 'Export strip' (values) into its column. Section 2: paste each client's Checklist GapFlag column (values) into its column. A control with gaps at 3+ clients is a candidate service offering / portfolio theme for _INDEX.md.</t>
  </si>
  <si>
    <t xml:space="preserve">Section 1 - Score % of target by domain</t>
  </si>
  <si>
    <t xml:space="preserve">C-001</t>
  </si>
  <si>
    <t xml:space="preserve">C-002</t>
  </si>
  <si>
    <t xml:space="preserve">C-003</t>
  </si>
  <si>
    <t xml:space="preserve">C-004</t>
  </si>
  <si>
    <t xml:space="preserve">C-005</t>
  </si>
  <si>
    <t xml:space="preserve">C-006</t>
  </si>
  <si>
    <t xml:space="preserve">C-007</t>
  </si>
  <si>
    <t xml:space="preserve">C-008</t>
  </si>
  <si>
    <t xml:space="preserve">C-009</t>
  </si>
  <si>
    <t xml:space="preserve">C-010</t>
  </si>
  <si>
    <t xml:space="preserve">C-011</t>
  </si>
  <si>
    <t xml:space="preserve">C-012</t>
  </si>
  <si>
    <t xml:space="preserve">Portfolio avg</t>
  </si>
  <si>
    <t xml:space="preserve">Clients Red</t>
  </si>
  <si>
    <t xml:space="preserve">Read-across / theme</t>
  </si>
  <si>
    <t xml:space="preserve">Section 2 - Pattern hunt: gap flags per control (1 = gap, 0 = OK, blank = not assessed / N/A)</t>
  </si>
  <si>
    <t xml:space="preserve">Control (from Checklist)</t>
  </si>
  <si>
    <t xml:space="preserve">Clients with gap</t>
  </si>
  <si>
    <t xml:space="preserve">Offer candidate (3+)</t>
  </si>
  <si>
    <t xml:space="preserve">Theme / proposed offering</t>
  </si>
  <si>
    <t xml:space="preserve">Flag</t>
  </si>
  <si>
    <t xml:space="preserve">Tool evidence</t>
  </si>
  <si>
    <t xml:space="preserve">Where to find the rest</t>
  </si>
  <si>
    <t xml:space="preserve">Collectors</t>
  </si>
  <si>
    <t xml:space="preserve">Run</t>
  </si>
  <si>
    <t xml:space="preserve">HOW TO LOAD: open &lt;run&gt;\AutoEvidence.csv from CER-Discovery, select all rows below its header, paste here from A2 (values). The Checklist 'Tool status' and 'Tool evidence' columns look up this tab by ID. Re-paste after each run; keep row 1 as is.</t>
  </si>
  <si>
    <t xml:space="preserve">Status meanings: Collected = automated evidence; Partial = part automated, rest per 'Where to find the rest'; Not run = collector not executed; Not collected = collector ran but got nothing (see coverage.md); Manual = no automation in v1.</t>
  </si>
  <si>
    <t xml:space="preserve">This tab holds real hostnames/UPNs from the client - keep the workbook local.</t>
  </si>
  <si>
    <t xml:space="preserve">Essential Eight reference - what score 2 (~ML1) and 3 (~ML2) mean per strategy, and which controls feed the indicative roll-up</t>
  </si>
  <si>
    <t xml:space="preserve">Source: ASD Essential Eight Maturity Model (cyber.gov.au), last updated 27 Nov 2023 - verified current 5 Sep 2026. Condensed; the model text is authoritative. Formal assessments use the ASD Essential Eight Assessment Process Guide.</t>
  </si>
  <si>
    <t xml:space="preserve">Strategy</t>
  </si>
  <si>
    <t xml:space="preserve">ML1 requirements (score 2 = all met across scope)</t>
  </si>
  <si>
    <t xml:space="preserve">ML2 adds (score 3 = met, verify formally)</t>
  </si>
  <si>
    <t xml:space="preserve">Mapped controls</t>
  </si>
  <si>
    <t xml:space="preserve">bA tooling that usually evidences it</t>
  </si>
  <si>
    <t xml:space="preserve">Automated asset discovery at least fortnightly; vulnerability scanner with current database; scan online services daily and office/browser/email/PDF/security products weekly; patch online services within 48 h (critical or exploited) else 2 weeks; patch office/browser/PDF/security products within 2 weeks; remove unsupported online services and unsupported office/browser/PDF/Flash/security products.</t>
  </si>
  <si>
    <t xml:space="preserve">Adds: scan other applications fortnightly and patch them within 1 month.</t>
  </si>
  <si>
    <t xml:space="preserve">M365-05, END-04, END-05, SRV-12, COV-04, SEC-04, LIC-02</t>
  </si>
  <si>
    <t xml:space="preserve">N-Central / NinjaOne 3rd-party patching; Intune Enterprise App Mgmt; Rapid7 IVM / Defender VM; LionGard</t>
  </si>
  <si>
    <t xml:space="preserve">Automated asset discovery at least fortnightly; scanner with current database; scan internet-facing servers/network devices daily, workstations and internal servers fortnightly; patch internet-facing OS within 48 h (critical or exploited) else 2 weeks; patch workstations/internal servers/devices within 1 month; replace unsupported operating systems.</t>
  </si>
  <si>
    <t xml:space="preserve">Same requirements as ML1 (ML3 adds drivers/firmware and latest-or-previous release).</t>
  </si>
  <si>
    <t xml:space="preserve">IAM-10, M365-05, END-02, END-03, END-05, SRV-02, SRV-03, SRV-06, SRV-09, SRV-13, NET-02, NET-04, NET-07, NET-12, BDR-09, COV-04, SEC-04, AZ-04, AZ-07, LIC-02</t>
  </si>
  <si>
    <t xml:space="preserve">N-Central patching; Intune update rings; Rapid7 IVM; FortiManager (firmware); vCenter</t>
  </si>
  <si>
    <t xml:space="preserve">MFA for users of the organisation's and third-party online services handling sensitive data (and where available for non-sensitive); MFA for customers of online customer services with sensitive data; MFA is something-you-have plus something-you-know, or something-you-have unlocked by know/are.</t>
  </si>
  <si>
    <t xml:space="preserve">Adds: MFA for privileged and unprivileged users of systems; phishing-resistant MFA for online services and systems (phishing-resistant option for customers); MFA events centrally logged; logs protected; internet-facing server logs analysed; incidents reported to CISO and ASD; IR plan enacted.</t>
  </si>
  <si>
    <t xml:space="preserve">IAM-02, IAM-03, IAM-04, IAM-12, IAM-13, NET-05, SEC-03, AZ-08</t>
  </si>
  <si>
    <t xml:space="preserve">Entra CA + auth methods; Lighthouse; FortiGate SAML; Huntress ITDR / Rapid7 logs</t>
  </si>
  <si>
    <t xml:space="preserve">Privileged access validated when first requested; dedicated privileged accounts; privileged accounts (unless explicitly authorised) blocked from internet, email and web; separate privileged and unprivileged operating environments; unprivileged accounts cannot log on to privileged environments and vice versa (excluding local admin).</t>
  </si>
  <si>
    <t xml:space="preserve">Adds: privileged access disabled after 12 months unless revalidated and after 45 days inactivity; privileged environments not virtualised inside unprivileged ones; admin via jump servers; break-glass, local admin and service account credentials long, unique, unpredictable and managed; privileged access and group-management events centrally logged; logs protected and analysed; incident reporting and IR plan.</t>
  </si>
  <si>
    <t xml:space="preserve">IAM-05, IAM-06, IAM-07, IAM-09, IAM-10, IAM-11, END-08, SRV-04, SRV-05, COV-08, SEC-03, SEC-08, SEC-12, AZ-02, AZ-04, DOC-03</t>
  </si>
  <si>
    <t xml:space="preserve">Entra roles/PIM; Windows LAPS; CyberArk + RDM jump host; AD tiering; Rapid7 IDR</t>
  </si>
  <si>
    <t xml:space="preserve">Application control on workstations covering user profiles and temporary folders used by OS, browsers and email clients; restricts executables, libraries, scripts, installers, compiled HTML, HTML applications and control panel applets to an approved set.</t>
  </si>
  <si>
    <t xml:space="preserve">Adds: application control on internet-facing servers and all locations; Microsoft's recommended block list; annual ruleset validation; allowed/blocked events centrally logged; logs protected and analysed; incident reporting and IR plan.</t>
  </si>
  <si>
    <t xml:space="preserve">END-09, SRV-04, SEC-03, SEC-12</t>
  </si>
  <si>
    <t xml:space="preserve">Airlock; Intune WDAC/AppLocker; EDR block events</t>
  </si>
  <si>
    <t xml:space="preserve">Macros disabled for users without a demonstrated business need; macros in files from the internet blocked; macro antivirus scanning enabled; macro security settings cannot be changed by users.</t>
  </si>
  <si>
    <t xml:space="preserve">Adds: macros blocked from making Win32 API calls.</t>
  </si>
  <si>
    <t xml:space="preserve">Intune Settings Catalog / GPO Office policies; Defender ASR</t>
  </si>
  <si>
    <t xml:space="preserve">Internet Explorer 11 disabled or removed; browsers do not process Java or web advertisements from the internet; browser security settings cannot be changed by users.</t>
  </si>
  <si>
    <t xml:space="preserve">Adds: browsers hardened to ASD/vendor guidance; Office blocked from child processes, executable content, code injection and OLE activation; Office hardened and settings locked; PDF software blocked from child processes, hardened and locked; PowerShell module/script block/transcription and command-line process creation events centrally logged; logs protected and analysed; incident reporting and IR plan.</t>
  </si>
  <si>
    <t xml:space="preserve">END-11, END-15, SEC-03</t>
  </si>
  <si>
    <t xml:space="preserve">Intune/GPO browser + Office policies; Defender ASR; PowerShell logging to Rapid7</t>
  </si>
  <si>
    <t xml:space="preserve">Backups of data, applications and settings performed and retained per business criticality and continuity requirements; synchronised to a common point in time; retained securely and resiliently; restoration tested as part of DR exercises; unprivileged accounts cannot access others' backups or modify/delete backups.</t>
  </si>
  <si>
    <t xml:space="preserve">Adds: privileged accounts (other than backup administrators) cannot access others' backups or modify/delete backups.</t>
  </si>
  <si>
    <t xml:space="preserve">M365-09, SRV-09, BDR-01, BDR-02, BDR-03, BDR-04, BDR-05, BDR-06, BDR-07, BDR-08, BDR-09, BDR-10, AZ-05, AZ-08</t>
  </si>
  <si>
    <t xml:space="preserve">Veeam (+ immutability), emPOWER DRaaS, Azure Backup, M365 backup; vminfo; SureBackup</t>
  </si>
  <si>
    <t xml:space="preserve">Lists and lookup tables (do not rename this sheet; edit values only if you know the formulas that use them)</t>
  </si>
  <si>
    <t xml:space="preserve">Risk+Effort</t>
  </si>
  <si>
    <t xml:space="preserve">RAG threshold</t>
  </si>
  <si>
    <t xml:space="preserve">Rubric</t>
  </si>
  <si>
    <t xml:space="preserve">E8 code</t>
  </si>
  <si>
    <t xml:space="preserve">H</t>
  </si>
  <si>
    <t xml:space="preserve">S</t>
  </si>
  <si>
    <t xml:space="preserve">bA</t>
  </si>
  <si>
    <t xml:space="preserve">[SDM]</t>
  </si>
  <si>
    <t xml:space="preserve">HS</t>
  </si>
  <si>
    <t xml:space="preserve">Green at or above</t>
  </si>
  <si>
    <t xml:space="preserve">M</t>
  </si>
  <si>
    <t xml:space="preserve">Client</t>
  </si>
  <si>
    <t xml:space="preserve">[SNOW]</t>
  </si>
  <si>
    <t xml:space="preserve">HM</t>
  </si>
  <si>
    <t xml:space="preserve">Amber at or above</t>
  </si>
  <si>
    <t xml:space="preserve">L</t>
  </si>
  <si>
    <t xml:space="preserve">Vendor</t>
  </si>
  <si>
    <t xml:space="preserve">[DOC]</t>
  </si>
  <si>
    <t xml:space="preserve">HL</t>
  </si>
  <si>
    <t xml:space="preserve">Below Amber = Red</t>
  </si>
  <si>
    <t xml:space="preserve">Joint</t>
  </si>
  <si>
    <t xml:space="preserve">[VERIFIED]</t>
  </si>
  <si>
    <t xml:space="preserve">MS</t>
  </si>
  <si>
    <t xml:space="preserve">MM</t>
  </si>
  <si>
    <t xml:space="preserve">ML</t>
  </si>
  <si>
    <t xml:space="preserve">P3</t>
  </si>
  <si>
    <t xml:space="preserve">LS</t>
  </si>
  <si>
    <t xml:space="preserve">LM</t>
  </si>
  <si>
    <t xml:space="preserve">LL</t>
  </si>
  <si>
    <t xml:space="preserve">P4</t>
  </si>
  <si>
    <t xml:space="preserve">Client Environment Review - Checklist (v1.2)</t>
  </si>
  <si>
    <t xml:space="preserve">SRV-14</t>
  </si>
  <si>
    <t xml:space="preserve">SRV</t>
  </si>
  <si>
    <t xml:space="preserve">Servers &amp; Virtualisation</t>
  </si>
  <si>
    <t xml:space="preserve">Published application and VDI platform (Citrix CVAD / Parallels RAS / RDS): farm version in support, broker and gateway redundancy, session host and VDA health, licensing model and entitlement headroom, gateway exposure and MFA</t>
  </si>
  <si>
    <t xml:space="preserve">The entire user population reaches its applications through this platform, so a single broker, an expired gateway certificate or an out-of-support farm version is a total outage rather than a degraded service - and the session hosts are usually excluded from endpoint tooling because they are filed as servers.</t>
  </si>
  <si>
    <t xml:space="preserve">Citrix Studio / Get-BrokerSite on a Delivery Controller; Parallels RAS console; NetScaler GUI or NITRO; RD Licensing Manager for CALs. CER-Discovery -Scope Citrix,ParallelsRas,NetScaler.</t>
  </si>
  <si>
    <t xml:space="preserve">Confirm the farm version is still in support (Citrix LTSR/CR dates, Parallels RAS 36-month LTS). Check there are two publishing agents/controllers and two gateways, not one of each. Confirm MFA on every published gateway. Check for unregistered VDAs or session hosts with an unhealthy agent. Read licence entitlement, usage headroom and renewal date. Confirm the session hosts appear in the patching, EDR and application-control coverage counts.</t>
  </si>
  <si>
    <t xml:space="preserve">Farm version in support; publishing agent/controller and gateway both redundant; MFA on every published gateway; session hosts inside the patching, EDR and application-control coverage counts; licence entitlement, headroom and renewal date known.</t>
  </si>
  <si>
    <t xml:space="preserve">PA, MFA</t>
  </si>
  <si>
    <t xml:space="preserve">Value-add</t>
  </si>
  <si>
    <t xml:space="preserve">Print, RDS and legacy services: print server hardening (Point and Print), RDS host and CAL licensing, legacy runtimes (.NET, Java) on supported versions</t>
  </si>
  <si>
    <t xml:space="preserve">Print spooler and remote-desktop hosts are recurring CVE targets and licence-compliance traps.</t>
  </si>
</sst>
</file>

<file path=xl/styles.xml><?xml version="1.0" encoding="utf-8"?>
<styleSheet xmlns="http://schemas.openxmlformats.org/spreadsheetml/2006/main">
  <numFmts count="4">
    <numFmt numFmtId="164" formatCode="General"/>
    <numFmt numFmtId="165" formatCode="dd/mm/yyyy"/>
    <numFmt numFmtId="166" formatCode="0%"/>
    <numFmt numFmtId="167" formatCode="0.0"/>
  </numFmts>
  <fonts count="10">
    <font>
      <sz val="10"/>
      <name val="Arial"/>
      <family val="0"/>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1"/>
      <color rgb="FF1F3864"/>
      <name val="Arial"/>
      <family val="0"/>
      <charset val="1"/>
    </font>
    <font>
      <b val="true"/>
      <sz val="10"/>
      <name val="Arial"/>
      <family val="0"/>
      <charset val="1"/>
    </font>
    <font>
      <sz val="10"/>
      <color rgb="FF0000FF"/>
      <name val="Arial"/>
      <family val="0"/>
      <charset val="1"/>
    </font>
    <font>
      <b val="true"/>
      <sz val="10"/>
      <color rgb="FFFFFFFF"/>
      <name val="Arial"/>
      <family val="0"/>
      <charset val="1"/>
    </font>
  </fonts>
  <fills count="8">
    <fill>
      <patternFill patternType="none"/>
    </fill>
    <fill>
      <patternFill patternType="gray125"/>
    </fill>
    <fill>
      <patternFill patternType="solid">
        <fgColor rgb="FFFFF2CC"/>
        <bgColor rgb="FFF2F2F2"/>
      </patternFill>
    </fill>
    <fill>
      <patternFill patternType="solid">
        <fgColor rgb="FFE2EFDA"/>
        <bgColor rgb="FFEDEDED"/>
      </patternFill>
    </fill>
    <fill>
      <patternFill patternType="solid">
        <fgColor rgb="FF1F3864"/>
        <bgColor rgb="FF333333"/>
      </patternFill>
    </fill>
    <fill>
      <patternFill patternType="solid">
        <fgColor rgb="FFEDEDED"/>
        <bgColor rgb="FFF2F2F2"/>
      </patternFill>
    </fill>
    <fill>
      <patternFill patternType="solid">
        <fgColor rgb="FFF2F2F2"/>
        <bgColor rgb="FFEDEDED"/>
      </patternFill>
    </fill>
    <fill>
      <patternFill patternType="solid">
        <fgColor rgb="FFD9E2F3"/>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5" fontId="8" fillId="2" borderId="1" xfId="0" applyFont="true" applyBorder="true" applyAlignment="true" applyProtection="false">
      <alignment horizontal="general" vertical="top" textRotation="0" wrapText="true" indent="0" shrinkToFit="false"/>
      <protection locked="true" hidden="false"/>
    </xf>
    <xf numFmtId="165" fontId="0"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0" fillId="3" borderId="1" xfId="0" applyFont="true" applyBorder="true" applyAlignment="true" applyProtection="false">
      <alignment horizontal="center" vertical="top" textRotation="0" wrapText="true" indent="0" shrinkToFit="false"/>
      <protection locked="true" hidden="false"/>
    </xf>
    <xf numFmtId="165" fontId="8" fillId="2" borderId="1" xfId="0" applyFont="true" applyBorder="true" applyAlignment="true" applyProtection="false">
      <alignment horizontal="center" vertical="top" textRotation="0" wrapText="true" indent="0" shrinkToFit="false"/>
      <protection locked="true" hidden="false"/>
    </xf>
    <xf numFmtId="164" fontId="0" fillId="5"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6" fontId="0" fillId="0" borderId="1" xfId="0" applyFont="true" applyBorder="true" applyAlignment="true" applyProtection="false">
      <alignment horizontal="center" vertical="top" textRotation="0" wrapText="true" indent="0" shrinkToFit="false"/>
      <protection locked="true" hidden="false"/>
    </xf>
    <xf numFmtId="167" fontId="0" fillId="0"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6" fontId="7" fillId="7" borderId="1" xfId="0" applyFont="true" applyBorder="true" applyAlignment="true" applyProtection="false">
      <alignment horizontal="center" vertical="top" textRotation="0" wrapText="true" indent="0" shrinkToFit="false"/>
      <protection locked="true" hidden="false"/>
    </xf>
    <xf numFmtId="167" fontId="7" fillId="7"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6" fontId="8" fillId="2" borderId="1" xfId="0" applyFont="true" applyBorder="true" applyAlignment="true" applyProtection="false">
      <alignment horizontal="center" vertical="top" textRotation="0" wrapText="true" indent="0" shrinkToFit="false"/>
      <protection locked="true" hidden="false"/>
    </xf>
    <xf numFmtId="166" fontId="8"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E2EFDA"/>
          <bgColor rgb="FF000000"/>
        </patternFill>
      </fill>
    </dxf>
    <dxf>
      <fill>
        <patternFill patternType="solid">
          <fgColor rgb="FFEDEDED"/>
          <bgColor rgb="FF000000"/>
        </patternFill>
      </fill>
    </dxf>
    <dxf>
      <fill>
        <patternFill>
          <bgColor rgb="FFF8CBAD"/>
        </patternFill>
      </fill>
    </dxf>
    <dxf>
      <fill>
        <patternFill>
          <bgColor rgb="FFFFE699"/>
        </patternFill>
      </fill>
    </dxf>
    <dxf>
      <fill>
        <patternFill>
          <bgColor rgb="FFC6E0B4"/>
        </patternFill>
      </fill>
    </dxf>
    <dxf>
      <fill>
        <patternFill>
          <bgColor rgb="FF70AD47"/>
        </patternFill>
      </fill>
    </dxf>
    <dxf>
      <fill>
        <patternFill>
          <bgColor rgb="FFD9D9D9"/>
        </patternFill>
      </fill>
    </dxf>
    <dxf>
      <font>
        <name val="Arial"/>
        <charset val="1"/>
        <family val="0"/>
        <b val="1"/>
        <color rgb="FFC00000"/>
        <sz val="10"/>
      </font>
      <fill>
        <patternFill>
          <bgColor rgb="FFF8CBAD"/>
        </patternFill>
      </fill>
    </dxf>
    <dxf>
      <font>
        <name val="Arial"/>
        <charset val="1"/>
        <family val="0"/>
        <b val="1"/>
        <color rgb="FF00B050"/>
        <sz val="10"/>
      </font>
    </dxf>
    <dxf>
      <fill>
        <patternFill>
          <bgColor rgb="FFFFD966"/>
        </patternFill>
      </fill>
    </dxf>
    <dxf>
      <font>
        <name val="Arial"/>
        <charset val="1"/>
        <family val="0"/>
        <i val="1"/>
        <color rgb="FF7F7F7F"/>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FE699"/>
      <rgbColor rgb="FFC6E0B4"/>
      <rgbColor rgb="FFFF99CC"/>
      <rgbColor rgb="FFD9E2F3"/>
      <rgbColor rgb="FFF8CBAD"/>
      <rgbColor rgb="FF3366FF"/>
      <rgbColor rgb="FF33CCCC"/>
      <rgbColor rgb="FF99CC00"/>
      <rgbColor rgb="FFFFD966"/>
      <rgbColor rgb="FFFF9900"/>
      <rgbColor rgb="FFFF6600"/>
      <rgbColor rgb="FF595959"/>
      <rgbColor rgb="FF70AD47"/>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00"/>
  </cols>
  <sheetData>
    <row r="1" customFormat="false" ht="19.7"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40.5" hidden="false" customHeight="true" outlineLevel="0" collapsed="false">
      <c r="B5" s="4" t="s">
        <v>3</v>
      </c>
      <c r="C5" s="5" t="s">
        <v>4</v>
      </c>
    </row>
    <row r="6" customFormat="false" ht="40.5" hidden="false" customHeight="true" outlineLevel="0" collapsed="false">
      <c r="B6" s="4" t="s">
        <v>5</v>
      </c>
      <c r="C6" s="5" t="s">
        <v>6</v>
      </c>
    </row>
    <row r="7" customFormat="false" ht="40.5" hidden="false" customHeight="true" outlineLevel="0" collapsed="false">
      <c r="B7" s="4" t="s">
        <v>7</v>
      </c>
      <c r="C7" s="5" t="s">
        <v>8</v>
      </c>
    </row>
    <row r="9" customFormat="false" ht="15" hidden="false" customHeight="false" outlineLevel="0" collapsed="false">
      <c r="B9" s="3" t="s">
        <v>9</v>
      </c>
    </row>
    <row r="10" customFormat="false" ht="15" hidden="false" customHeight="false" outlineLevel="0" collapsed="false">
      <c r="B10" s="4" t="s">
        <v>10</v>
      </c>
      <c r="C10" s="5" t="s">
        <v>11</v>
      </c>
    </row>
    <row r="11" customFormat="false" ht="40.5" hidden="false" customHeight="true" outlineLevel="0" collapsed="false">
      <c r="B11" s="4" t="s">
        <v>12</v>
      </c>
      <c r="C11" s="5" t="s">
        <v>13</v>
      </c>
    </row>
    <row r="12" customFormat="false" ht="40.5" hidden="false" customHeight="true" outlineLevel="0" collapsed="false">
      <c r="B12" s="4" t="s">
        <v>14</v>
      </c>
      <c r="C12" s="5" t="s">
        <v>15</v>
      </c>
    </row>
    <row r="13" customFormat="false" ht="40.5" hidden="false" customHeight="true" outlineLevel="0" collapsed="false">
      <c r="B13" s="4" t="s">
        <v>16</v>
      </c>
      <c r="C13" s="5" t="s">
        <v>17</v>
      </c>
    </row>
    <row r="14" customFormat="false" ht="40.5" hidden="false" customHeight="true" outlineLevel="0" collapsed="false">
      <c r="B14" s="4" t="s">
        <v>18</v>
      </c>
      <c r="C14" s="5" t="s">
        <v>19</v>
      </c>
    </row>
    <row r="15" customFormat="false" ht="27.75" hidden="false" customHeight="true" outlineLevel="0" collapsed="false">
      <c r="B15" s="4" t="s">
        <v>20</v>
      </c>
      <c r="C15" s="5" t="s">
        <v>21</v>
      </c>
    </row>
    <row r="16" customFormat="false" ht="40.5" hidden="false" customHeight="true" outlineLevel="0" collapsed="false">
      <c r="B16" s="4" t="s">
        <v>22</v>
      </c>
      <c r="C16" s="5" t="s">
        <v>23</v>
      </c>
    </row>
    <row r="17" customFormat="false" ht="40.5" hidden="false" customHeight="true" outlineLevel="0" collapsed="false">
      <c r="B17" s="4" t="s">
        <v>24</v>
      </c>
      <c r="C17" s="5" t="s">
        <v>25</v>
      </c>
    </row>
    <row r="18" customFormat="false" ht="40.5" hidden="false" customHeight="true" outlineLevel="0" collapsed="false">
      <c r="B18" s="4" t="s">
        <v>26</v>
      </c>
      <c r="C18" s="5" t="s">
        <v>27</v>
      </c>
    </row>
    <row r="19" customFormat="false" ht="40.5" hidden="false" customHeight="true" outlineLevel="0" collapsed="false">
      <c r="B19" s="4" t="s">
        <v>28</v>
      </c>
      <c r="C19" s="5" t="s">
        <v>29</v>
      </c>
    </row>
    <row r="21" customFormat="false" ht="15" hidden="false" customHeight="false" outlineLevel="0" collapsed="false">
      <c r="B21" s="3" t="s">
        <v>30</v>
      </c>
    </row>
    <row r="22" customFormat="false" ht="27.75" hidden="false" customHeight="true" outlineLevel="0" collapsed="false">
      <c r="B22" s="4" t="s">
        <v>31</v>
      </c>
      <c r="C22" s="5" t="s">
        <v>32</v>
      </c>
    </row>
    <row r="23" customFormat="false" ht="27.75" hidden="false" customHeight="true" outlineLevel="0" collapsed="false">
      <c r="B23" s="4" t="s">
        <v>33</v>
      </c>
      <c r="C23" s="5" t="s">
        <v>34</v>
      </c>
    </row>
    <row r="24" customFormat="false" ht="27.75" hidden="false" customHeight="true" outlineLevel="0" collapsed="false">
      <c r="B24" s="4" t="s">
        <v>35</v>
      </c>
      <c r="C24" s="5" t="s">
        <v>36</v>
      </c>
    </row>
    <row r="25" customFormat="false" ht="27.75" hidden="false" customHeight="true" outlineLevel="0" collapsed="false">
      <c r="B25" s="4" t="s">
        <v>37</v>
      </c>
      <c r="C25" s="5" t="s">
        <v>38</v>
      </c>
    </row>
    <row r="26" customFormat="false" ht="27.75" hidden="false" customHeight="true" outlineLevel="0" collapsed="false">
      <c r="B26" s="4" t="s">
        <v>39</v>
      </c>
      <c r="C26" s="5" t="s">
        <v>40</v>
      </c>
    </row>
    <row r="27" customFormat="false" ht="27.75" hidden="false" customHeight="true" outlineLevel="0" collapsed="false">
      <c r="B27" s="4" t="s">
        <v>41</v>
      </c>
      <c r="C27" s="5" t="s">
        <v>42</v>
      </c>
    </row>
    <row r="29" customFormat="false" ht="15" hidden="false" customHeight="false" outlineLevel="0" collapsed="false">
      <c r="B29" s="3" t="s">
        <v>43</v>
      </c>
    </row>
    <row r="30" customFormat="false" ht="40.5" hidden="false" customHeight="true" outlineLevel="0" collapsed="false">
      <c r="B30" s="4" t="s">
        <v>44</v>
      </c>
      <c r="C30" s="5" t="s">
        <v>45</v>
      </c>
    </row>
    <row r="31" customFormat="false" ht="27.75" hidden="false" customHeight="true" outlineLevel="0" collapsed="false">
      <c r="B31" s="4" t="s">
        <v>46</v>
      </c>
      <c r="C31" s="5" t="s">
        <v>47</v>
      </c>
    </row>
    <row r="32" customFormat="false" ht="27.75" hidden="false" customHeight="true" outlineLevel="0" collapsed="false">
      <c r="B32" s="4" t="s">
        <v>48</v>
      </c>
      <c r="C32" s="5" t="s">
        <v>49</v>
      </c>
    </row>
    <row r="33" customFormat="false" ht="27.75" hidden="false" customHeight="true" outlineLevel="0" collapsed="false">
      <c r="B33" s="4" t="s">
        <v>50</v>
      </c>
      <c r="C33" s="5" t="s">
        <v>51</v>
      </c>
    </row>
    <row r="34" customFormat="false" ht="27.75" hidden="false" customHeight="true" outlineLevel="0" collapsed="false">
      <c r="B34" s="4" t="s">
        <v>52</v>
      </c>
      <c r="C34" s="5" t="s">
        <v>53</v>
      </c>
    </row>
    <row r="36" customFormat="false" ht="15" hidden="false" customHeight="false" outlineLevel="0" collapsed="false">
      <c r="B36" s="3" t="s">
        <v>54</v>
      </c>
    </row>
    <row r="37" customFormat="false" ht="15" hidden="false" customHeight="false" outlineLevel="0" collapsed="false">
      <c r="B37" s="6" t="s">
        <v>55</v>
      </c>
      <c r="C37" s="5" t="s">
        <v>56</v>
      </c>
    </row>
    <row r="38" customFormat="false" ht="27.75" hidden="false" customHeight="true" outlineLevel="0" collapsed="false">
      <c r="B38" s="5" t="s">
        <v>57</v>
      </c>
      <c r="C38" s="5" t="s">
        <v>58</v>
      </c>
    </row>
    <row r="39" customFormat="false" ht="27.75" hidden="false" customHeight="true" outlineLevel="0" collapsed="false">
      <c r="B39" s="7" t="s">
        <v>59</v>
      </c>
      <c r="C39" s="5" t="s">
        <v>60</v>
      </c>
    </row>
    <row r="40" customFormat="false" ht="27.75" hidden="false" customHeight="true" outlineLevel="0" collapsed="false">
      <c r="B40" s="5" t="s">
        <v>61</v>
      </c>
      <c r="C40" s="5" t="s">
        <v>62</v>
      </c>
    </row>
    <row r="42" customFormat="false" ht="15" hidden="false" customHeight="false" outlineLevel="0" collapsed="false">
      <c r="B42" s="3" t="s">
        <v>63</v>
      </c>
    </row>
    <row r="43" customFormat="false" ht="15" hidden="false" customHeight="false" outlineLevel="0" collapsed="false">
      <c r="B43" s="4" t="s">
        <v>64</v>
      </c>
      <c r="C43" s="5" t="s">
        <v>65</v>
      </c>
    </row>
    <row r="44" customFormat="false" ht="15" hidden="false" customHeight="false" outlineLevel="0" collapsed="false">
      <c r="B44" s="4" t="s">
        <v>66</v>
      </c>
      <c r="C44" s="5" t="s">
        <v>67</v>
      </c>
    </row>
    <row r="45" customFormat="false" ht="15" hidden="false" customHeight="false" outlineLevel="0" collapsed="false">
      <c r="B45" s="4" t="s">
        <v>68</v>
      </c>
      <c r="C45" s="5" t="s">
        <v>69</v>
      </c>
    </row>
    <row r="46" customFormat="false" ht="15" hidden="false" customHeight="false" outlineLevel="0" collapsed="false">
      <c r="B46" s="4" t="s">
        <v>70</v>
      </c>
      <c r="C46" s="5" t="s">
        <v>48</v>
      </c>
    </row>
    <row r="47" customFormat="false" ht="27.75" hidden="false" customHeight="true" outlineLevel="0" collapsed="false">
      <c r="B47" s="4" t="s">
        <v>71</v>
      </c>
      <c r="C47" s="5" t="s">
        <v>72</v>
      </c>
    </row>
    <row r="48" customFormat="false" ht="27.75" hidden="false" customHeight="true" outlineLevel="0" collapsed="false">
      <c r="B48" s="4" t="s">
        <v>73</v>
      </c>
      <c r="C48" s="5" t="s">
        <v>74</v>
      </c>
    </row>
    <row r="49" customFormat="false" ht="15" hidden="false" customHeight="false" outlineLevel="0" collapsed="false">
      <c r="B49" s="4" t="s">
        <v>75</v>
      </c>
      <c r="C49" s="5" t="s">
        <v>76</v>
      </c>
    </row>
    <row r="51" customFormat="false" ht="15" hidden="false" customHeight="false" outlineLevel="0" collapsed="false">
      <c r="B51" s="3" t="s">
        <v>77</v>
      </c>
    </row>
    <row r="52" customFormat="false" ht="40.5" hidden="false" customHeight="true" outlineLevel="0" collapsed="false">
      <c r="B52" s="4" t="s">
        <v>78</v>
      </c>
      <c r="C52" s="5" t="s">
        <v>79</v>
      </c>
    </row>
    <row r="53" customFormat="false" ht="66.75" hidden="false" customHeight="true" outlineLevel="0" collapsed="false">
      <c r="B53" s="4" t="s">
        <v>80</v>
      </c>
      <c r="C53" s="5" t="s">
        <v>81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60"/>
    <col collapsed="false" customWidth="true" hidden="false" outlineLevel="0" max="4" min="4" style="0" width="4"/>
    <col collapsed="false" customWidth="true" hidden="false" outlineLevel="0" max="5" min="5" style="0" width="34"/>
    <col collapsed="false" customWidth="true" hidden="false" outlineLevel="0" max="6" min="6" style="0" width="12"/>
    <col collapsed="false" customWidth="true" hidden="false" outlineLevel="0" max="7" min="7" style="0" width="40"/>
  </cols>
  <sheetData>
    <row r="1" customFormat="false" ht="19.7" hidden="false" customHeight="false" outlineLevel="0" collapsed="false">
      <c r="B1" s="1" t="s">
        <v>82</v>
      </c>
    </row>
    <row r="2" customFormat="false" ht="15" hidden="false" customHeight="false" outlineLevel="0" collapsed="false">
      <c r="B2" s="2" t="s">
        <v>83</v>
      </c>
    </row>
    <row r="4" customFormat="false" ht="15" hidden="false" customHeight="false" outlineLevel="0" collapsed="false">
      <c r="B4" s="8" t="s">
        <v>84</v>
      </c>
      <c r="C4" s="8" t="s">
        <v>85</v>
      </c>
      <c r="E4" s="8" t="s">
        <v>86</v>
      </c>
      <c r="F4" s="8" t="s">
        <v>87</v>
      </c>
      <c r="G4" s="8" t="s">
        <v>88</v>
      </c>
    </row>
    <row r="5" customFormat="false" ht="27.75" hidden="false" customHeight="true" outlineLevel="0" collapsed="false">
      <c r="B5" s="4" t="s">
        <v>89</v>
      </c>
      <c r="C5" s="6" t="s">
        <v>90</v>
      </c>
      <c r="E5" s="5" t="s">
        <v>91</v>
      </c>
      <c r="F5" s="9" t="s">
        <v>92</v>
      </c>
      <c r="G5" s="6"/>
    </row>
    <row r="6" customFormat="false" ht="27.75" hidden="false" customHeight="true" outlineLevel="0" collapsed="false">
      <c r="B6" s="4" t="s">
        <v>93</v>
      </c>
      <c r="C6" s="6"/>
      <c r="E6" s="5" t="s">
        <v>94</v>
      </c>
      <c r="F6" s="9" t="s">
        <v>92</v>
      </c>
      <c r="G6" s="6"/>
    </row>
    <row r="7" customFormat="false" ht="27.75" hidden="false" customHeight="true" outlineLevel="0" collapsed="false">
      <c r="B7" s="4" t="s">
        <v>95</v>
      </c>
      <c r="C7" s="6"/>
      <c r="E7" s="5" t="s">
        <v>96</v>
      </c>
      <c r="F7" s="9" t="s">
        <v>92</v>
      </c>
      <c r="G7" s="6"/>
    </row>
    <row r="8" customFormat="false" ht="27.75" hidden="false" customHeight="true" outlineLevel="0" collapsed="false">
      <c r="B8" s="4" t="s">
        <v>97</v>
      </c>
      <c r="C8" s="6"/>
      <c r="E8" s="5" t="s">
        <v>98</v>
      </c>
      <c r="F8" s="9" t="s">
        <v>92</v>
      </c>
      <c r="G8" s="6"/>
    </row>
    <row r="9" customFormat="false" ht="27.75" hidden="false" customHeight="true" outlineLevel="0" collapsed="false">
      <c r="B9" s="4" t="s">
        <v>99</v>
      </c>
      <c r="C9" s="6"/>
      <c r="E9" s="5" t="s">
        <v>100</v>
      </c>
      <c r="F9" s="9" t="s">
        <v>92</v>
      </c>
      <c r="G9" s="6"/>
    </row>
    <row r="10" customFormat="false" ht="27.75" hidden="false" customHeight="true" outlineLevel="0" collapsed="false">
      <c r="B10" s="4" t="s">
        <v>101</v>
      </c>
      <c r="C10" s="6"/>
      <c r="E10" s="5" t="s">
        <v>102</v>
      </c>
      <c r="F10" s="9" t="s">
        <v>92</v>
      </c>
      <c r="G10" s="6"/>
    </row>
    <row r="11" customFormat="false" ht="27.75" hidden="false" customHeight="true" outlineLevel="0" collapsed="false">
      <c r="B11" s="4" t="s">
        <v>103</v>
      </c>
      <c r="C11" s="6" t="s">
        <v>104</v>
      </c>
      <c r="E11" s="5" t="s">
        <v>105</v>
      </c>
      <c r="F11" s="9" t="s">
        <v>92</v>
      </c>
      <c r="G11" s="6"/>
    </row>
    <row r="12" customFormat="false" ht="27.75" hidden="false" customHeight="true" outlineLevel="0" collapsed="false">
      <c r="B12" s="4" t="s">
        <v>106</v>
      </c>
      <c r="C12" s="10" t="n">
        <v>46270</v>
      </c>
      <c r="E12" s="5" t="s">
        <v>107</v>
      </c>
      <c r="F12" s="9" t="s">
        <v>92</v>
      </c>
      <c r="G12" s="6"/>
    </row>
    <row r="13" customFormat="false" ht="27.75" hidden="false" customHeight="true" outlineLevel="0" collapsed="false">
      <c r="B13" s="4" t="s">
        <v>108</v>
      </c>
      <c r="C13" s="6" t="s">
        <v>7</v>
      </c>
      <c r="E13" s="5" t="s">
        <v>109</v>
      </c>
      <c r="F13" s="9" t="s">
        <v>92</v>
      </c>
      <c r="G13" s="6"/>
    </row>
    <row r="14" customFormat="false" ht="27.75" hidden="false" customHeight="true" outlineLevel="0" collapsed="false">
      <c r="B14" s="4" t="s">
        <v>110</v>
      </c>
      <c r="C14" s="11" t="str">
        <f aca="false">IF(ISNUMBER(C11),C11+91,"")</f>
        <v/>
      </c>
      <c r="E14" s="5" t="s">
        <v>111</v>
      </c>
      <c r="F14" s="9" t="s">
        <v>92</v>
      </c>
      <c r="G14" s="6"/>
    </row>
    <row r="15" customFormat="false" ht="27.75" hidden="false" customHeight="true" outlineLevel="0" collapsed="false">
      <c r="B15" s="4" t="s">
        <v>112</v>
      </c>
      <c r="C15" s="6"/>
      <c r="E15" s="5" t="s">
        <v>113</v>
      </c>
      <c r="F15" s="9" t="s">
        <v>92</v>
      </c>
      <c r="G15" s="6"/>
    </row>
    <row r="16" customFormat="false" ht="27.75" hidden="false" customHeight="true" outlineLevel="0" collapsed="false">
      <c r="B16" s="4" t="s">
        <v>114</v>
      </c>
      <c r="C16" s="6"/>
    </row>
    <row r="17" customFormat="false" ht="27.75" hidden="false" customHeight="true" outlineLevel="0" collapsed="false">
      <c r="B17" s="4" t="s">
        <v>115</v>
      </c>
      <c r="C17" s="6"/>
      <c r="E17" s="2" t="s">
        <v>116</v>
      </c>
    </row>
    <row r="18" customFormat="false" ht="27.75" hidden="false" customHeight="true" outlineLevel="0" collapsed="false">
      <c r="B18" s="4" t="s">
        <v>117</v>
      </c>
      <c r="C18" s="6"/>
    </row>
    <row r="19" customFormat="false" ht="27.75" hidden="false" customHeight="true" outlineLevel="0" collapsed="false">
      <c r="B19" s="4" t="s">
        <v>118</v>
      </c>
      <c r="C19" s="6"/>
      <c r="E19" s="8" t="s">
        <v>119</v>
      </c>
      <c r="F19" s="8" t="s">
        <v>120</v>
      </c>
      <c r="G19" s="8" t="s">
        <v>121</v>
      </c>
    </row>
    <row r="20" customFormat="false" ht="27.75" hidden="false" customHeight="true" outlineLevel="0" collapsed="false">
      <c r="B20" s="4" t="s">
        <v>122</v>
      </c>
      <c r="C20" s="6" t="s">
        <v>123</v>
      </c>
      <c r="E20" s="5" t="s">
        <v>124</v>
      </c>
      <c r="F20" s="9"/>
      <c r="G20" s="6"/>
    </row>
    <row r="21" customFormat="false" ht="27.75" hidden="false" customHeight="true" outlineLevel="0" collapsed="false">
      <c r="B21" s="4" t="s">
        <v>125</v>
      </c>
      <c r="C21" s="6"/>
      <c r="E21" s="5" t="s">
        <v>126</v>
      </c>
      <c r="F21" s="9"/>
      <c r="G21" s="6"/>
    </row>
    <row r="22" customFormat="false" ht="27.75" hidden="false" customHeight="true" outlineLevel="0" collapsed="false">
      <c r="B22" s="4" t="s">
        <v>127</v>
      </c>
      <c r="C22" s="6"/>
      <c r="E22" s="5" t="s">
        <v>128</v>
      </c>
      <c r="F22" s="9"/>
      <c r="G22" s="6"/>
    </row>
    <row r="23" customFormat="false" ht="27.75" hidden="false" customHeight="true" outlineLevel="0" collapsed="false">
      <c r="B23" s="4" t="s">
        <v>129</v>
      </c>
      <c r="C23" s="6"/>
      <c r="E23" s="5" t="s">
        <v>130</v>
      </c>
      <c r="F23" s="9"/>
      <c r="G23" s="6"/>
    </row>
    <row r="24" customFormat="false" ht="27.75" hidden="false" customHeight="true" outlineLevel="0" collapsed="false">
      <c r="B24" s="4" t="s">
        <v>131</v>
      </c>
      <c r="C24" s="6" t="s">
        <v>132</v>
      </c>
      <c r="E24" s="5" t="s">
        <v>133</v>
      </c>
      <c r="F24" s="9"/>
      <c r="G24" s="6"/>
    </row>
    <row r="25" customFormat="false" ht="27.75" hidden="false" customHeight="true" outlineLevel="0" collapsed="false">
      <c r="B25" s="4" t="s">
        <v>134</v>
      </c>
      <c r="C25" s="6"/>
      <c r="E25" s="5" t="s">
        <v>135</v>
      </c>
      <c r="F25" s="9"/>
      <c r="G25" s="6"/>
    </row>
    <row r="26" customFormat="false" ht="27.75" hidden="false" customHeight="true" outlineLevel="0" collapsed="false">
      <c r="B26" s="4" t="s">
        <v>136</v>
      </c>
      <c r="C26" s="6"/>
      <c r="E26" s="5" t="s">
        <v>137</v>
      </c>
      <c r="F26" s="9"/>
      <c r="G26" s="6"/>
    </row>
    <row r="27" customFormat="false" ht="27.75" hidden="false" customHeight="true" outlineLevel="0" collapsed="false">
      <c r="E27" s="5" t="s">
        <v>138</v>
      </c>
      <c r="F27" s="9"/>
      <c r="G27" s="6"/>
    </row>
    <row r="28" customFormat="false" ht="27.75" hidden="false" customHeight="true" outlineLevel="0" collapsed="false">
      <c r="E28" s="5" t="s">
        <v>139</v>
      </c>
      <c r="F28" s="9"/>
      <c r="G28" s="6"/>
    </row>
    <row r="29" customFormat="false" ht="27.75" hidden="false" customHeight="true" outlineLevel="0" collapsed="false">
      <c r="E29" s="5" t="s">
        <v>140</v>
      </c>
      <c r="F29" s="9"/>
      <c r="G29" s="6"/>
    </row>
    <row r="30" customFormat="false" ht="27.75" hidden="false" customHeight="true" outlineLevel="0" collapsed="false"/>
  </sheetData>
  <dataValidations count="5">
    <dataValidation allowBlank="true" errorStyle="stop" operator="between" showDropDown="false" showErrorMessage="false" showInputMessage="false" sqref="C13" type="list">
      <formula1>"Baseline,Quarterly refresh,Annual full,Triggered (incident/renewal/handover)"</formula1>
      <formula2>0</formula2>
    </dataValidation>
    <dataValidation allowBlank="true" errorStyle="stop" operator="between" showDropDown="false" showErrorMessage="false" showInputMessage="false" sqref="C24" type="list">
      <formula1>"None agreed,ML1,ML2,ML3"</formula1>
      <formula2>0</formula2>
    </dataValidation>
    <dataValidation allowBlank="true" errorStyle="stop" operator="between" showDropDown="false" showErrorMessage="false" showInputMessage="false" sqref="C20" type="list">
      <formula1>"Cloud-only,Hybrid - Entra Connect,Hybrid - Cloud Sync,On-prem only"</formula1>
      <formula2>0</formula2>
    </dataValidation>
    <dataValidation allowBlank="true" errorStyle="stop" operator="between" showDropDown="false" showErrorMessage="false" showInputMessage="false" sqref="F5:F15" type="list">
      <formula1>"Yes,No,Partial"</formula1>
      <formula2>0</formula2>
    </dataValidation>
    <dataValidation allowBlank="true" errorStyle="stop" operator="between" showDropDown="false" showErrorMessage="false" showInputMessage="false" sqref="F20:F29" type="list">
      <formula1>"Yes,No,Partial"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L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16"/>
    <col collapsed="false" customWidth="true" hidden="false" outlineLevel="0" max="4" min="4" style="0" width="46"/>
    <col collapsed="false" customWidth="true" hidden="false" outlineLevel="0" max="6" min="5" style="0" width="34"/>
    <col collapsed="false" customWidth="true" hidden="false" outlineLevel="0" max="7" min="7" style="0" width="44"/>
    <col collapsed="false" customWidth="true" hidden="false" outlineLevel="0" max="8" min="8" style="0" width="32"/>
    <col collapsed="false" customWidth="true" hidden="false" outlineLevel="0" max="9" min="9" style="0" width="9"/>
    <col collapsed="false" customWidth="true" hidden="false" outlineLevel="0" max="10" min="10" style="0" width="11"/>
    <col collapsed="false" customWidth="true" hidden="false" outlineLevel="0" max="11" min="11" style="0" width="8"/>
    <col collapsed="false" customWidth="true" hidden="false" outlineLevel="0" max="12" min="12" style="0" width="9"/>
    <col collapsed="false" customWidth="true" hidden="false" outlineLevel="0" max="15" min="13" style="0" width="7"/>
    <col collapsed="false" customWidth="true" hidden="false" outlineLevel="0" max="17" min="16" style="0" width="8"/>
    <col collapsed="false" customWidth="true" hidden="false" outlineLevel="0" max="18" min="18" style="0" width="12"/>
    <col collapsed="false" customWidth="true" hidden="false" outlineLevel="0" max="19" min="19" style="0" width="11"/>
    <col collapsed="false" customWidth="true" hidden="false" outlineLevel="0" max="20" min="20" style="0" width="46"/>
    <col collapsed="false" customWidth="true" hidden="false" outlineLevel="0" max="21" min="21" style="0" width="42"/>
    <col collapsed="false" customWidth="true" hidden="false" outlineLevel="0" max="22" min="22" style="0" width="40"/>
    <col collapsed="false" customWidth="true" hidden="false" outlineLevel="0" max="23" min="23" style="0" width="8"/>
    <col collapsed="false" customWidth="true" hidden="false" outlineLevel="0" max="24" min="24" style="0" width="20"/>
    <col collapsed="false" customWidth="true" hidden="false" outlineLevel="0" max="25" min="25" style="0" width="14"/>
    <col collapsed="false" customWidth="true" hidden="false" outlineLevel="0" max="26" min="26" style="0" width="10"/>
    <col collapsed="false" customWidth="true" hidden="false" outlineLevel="0" max="27" min="27" style="0" width="11"/>
    <col collapsed="false" customWidth="true" hidden="false" outlineLevel="0" max="28" min="28" style="0" width="9"/>
    <col collapsed="false" customWidth="true" hidden="true" outlineLevel="0" max="30" min="29" style="0" width="8"/>
    <col collapsed="false" customWidth="true" hidden="true" outlineLevel="0" max="38" min="31" style="0" width="7"/>
  </cols>
  <sheetData>
    <row r="1" customFormat="false" ht="19.7" hidden="false" customHeight="false" outlineLevel="0" collapsed="false">
      <c r="A1" s="1" t="s">
        <v>1141</v>
      </c>
    </row>
    <row r="2" customFormat="false" ht="30" hidden="false" customHeight="true" outlineLevel="0" collapsed="false">
      <c r="A2" s="12" t="s">
        <v>142</v>
      </c>
      <c r="B2" s="12"/>
      <c r="C2" s="12"/>
      <c r="D2" s="12"/>
      <c r="E2" s="12"/>
      <c r="F2" s="12"/>
      <c r="G2" s="12"/>
      <c r="H2" s="12"/>
      <c r="I2" s="12"/>
      <c r="J2" s="12"/>
      <c r="K2" s="12"/>
      <c r="L2" s="12"/>
      <c r="M2" s="12"/>
      <c r="N2" s="12"/>
      <c r="O2" s="12"/>
      <c r="P2" s="12"/>
      <c r="Q2" s="12"/>
      <c r="R2" s="12"/>
      <c r="S2" s="12"/>
      <c r="T2" s="12"/>
    </row>
    <row r="4" customFormat="false" ht="42" hidden="false" customHeight="true" outlineLevel="0" collapsed="false">
      <c r="A4" s="8" t="s">
        <v>64</v>
      </c>
      <c r="B4" s="8" t="s">
        <v>143</v>
      </c>
      <c r="C4" s="8" t="s">
        <v>86</v>
      </c>
      <c r="D4" s="8" t="s">
        <v>144</v>
      </c>
      <c r="E4" s="8" t="s">
        <v>145</v>
      </c>
      <c r="F4" s="8" t="s">
        <v>146</v>
      </c>
      <c r="G4" s="8" t="s">
        <v>147</v>
      </c>
      <c r="H4" s="8" t="s">
        <v>148</v>
      </c>
      <c r="I4" s="8" t="s">
        <v>149</v>
      </c>
      <c r="J4" s="8" t="s">
        <v>150</v>
      </c>
      <c r="K4" s="8" t="s">
        <v>41</v>
      </c>
      <c r="L4" s="8" t="s">
        <v>151</v>
      </c>
      <c r="M4" s="8" t="s">
        <v>152</v>
      </c>
      <c r="N4" s="8" t="s">
        <v>153</v>
      </c>
      <c r="O4" s="8" t="s">
        <v>154</v>
      </c>
      <c r="P4" s="8" t="s">
        <v>44</v>
      </c>
      <c r="Q4" s="8" t="s">
        <v>155</v>
      </c>
      <c r="R4" s="8" t="s">
        <v>70</v>
      </c>
      <c r="S4" s="8" t="s">
        <v>156</v>
      </c>
      <c r="T4" s="8" t="s">
        <v>157</v>
      </c>
      <c r="U4" s="8" t="s">
        <v>158</v>
      </c>
      <c r="V4" s="8" t="s">
        <v>73</v>
      </c>
      <c r="W4" s="8" t="s">
        <v>159</v>
      </c>
      <c r="X4" s="8" t="s">
        <v>160</v>
      </c>
      <c r="Y4" s="8" t="s">
        <v>161</v>
      </c>
      <c r="Z4" s="8" t="s">
        <v>162</v>
      </c>
      <c r="AA4" s="8" t="s">
        <v>163</v>
      </c>
      <c r="AB4" s="8" t="s">
        <v>164</v>
      </c>
      <c r="AC4" s="8" t="s">
        <v>165</v>
      </c>
      <c r="AD4" s="8" t="s">
        <v>166</v>
      </c>
      <c r="AE4" s="8" t="s">
        <v>167</v>
      </c>
      <c r="AF4" s="8" t="s">
        <v>168</v>
      </c>
      <c r="AG4" s="8" t="s">
        <v>169</v>
      </c>
      <c r="AH4" s="8" t="s">
        <v>170</v>
      </c>
      <c r="AI4" s="8" t="s">
        <v>171</v>
      </c>
      <c r="AJ4" s="8" t="s">
        <v>172</v>
      </c>
      <c r="AK4" s="8" t="s">
        <v>173</v>
      </c>
      <c r="AL4" s="8" t="s">
        <v>174</v>
      </c>
    </row>
    <row r="5" customFormat="false" ht="55.5" hidden="false" customHeight="true" outlineLevel="0" collapsed="false">
      <c r="A5" s="4" t="s">
        <v>175</v>
      </c>
      <c r="B5" s="5" t="s">
        <v>176</v>
      </c>
      <c r="C5" s="5" t="s">
        <v>177</v>
      </c>
      <c r="D5" s="5" t="s">
        <v>178</v>
      </c>
      <c r="E5" s="5" t="s">
        <v>179</v>
      </c>
      <c r="F5" s="5" t="s">
        <v>180</v>
      </c>
      <c r="G5" s="5" t="s">
        <v>181</v>
      </c>
      <c r="H5" s="5" t="s">
        <v>182</v>
      </c>
      <c r="I5" s="13"/>
      <c r="J5" s="13" t="s">
        <v>46</v>
      </c>
      <c r="K5" s="9" t="n">
        <v>2</v>
      </c>
      <c r="L5" s="9"/>
      <c r="M5" s="13" t="str">
        <f aca="false">IF(ISNUMBER(L5),IF(L5&lt;K5,"Gap","OK"),IF(L5="N/A","N/A",""))</f>
        <v/>
      </c>
      <c r="N5" s="9"/>
      <c r="O5" s="9"/>
      <c r="P5" s="13" t="str">
        <f aca="false">IF(AND(M5="Gap",N5&lt;&gt;"",O5&lt;&gt;""),VLOOKUP(N5&amp;O5,Lists!$H$4:$I$12,2,FALSE()),"")</f>
        <v/>
      </c>
      <c r="Q5" s="13" t="str">
        <f aca="false">IF(AND(M5="Gap",O5="S",OR(N5="H",N5="M")),"Yes","")</f>
        <v/>
      </c>
      <c r="R5" s="9" t="s">
        <v>46</v>
      </c>
      <c r="S5" s="14" t="str">
        <f aca="false">IF(A5="","",IFERROR(IF(OR(VLOOKUP(A5,AutoEvidence!$A$2:$G$400,2,FALSE())="Collected",VLOOKUP(A5,AutoEvidence!$A$2:$G$400,2,FALSE())="Partial"),VLOOKUP(A5,AutoEvidence!$A$2:$G$400,3,FALSE())&amp;" ("&amp;VLOOKUP(A5,AutoEvidence!$A$2:$G$400,2,FALSE())&amp;")",VLOOKUP(A5,AutoEvidence!$A$2:$G$400,2,FALSE())),""))</f>
        <v/>
      </c>
      <c r="T5" s="7" t="str">
        <f aca="false">IF(A5="","",IFERROR(VLOOKUP(A5,AutoEvidence!$A$2:$G$400,4,FALSE())&amp;"",""))</f>
        <v/>
      </c>
      <c r="U5" s="6"/>
      <c r="V5" s="6"/>
      <c r="W5" s="9"/>
      <c r="X5" s="6"/>
      <c r="Y5" s="6"/>
      <c r="Z5" s="9"/>
      <c r="AA5" s="15"/>
      <c r="AB5" s="13" t="str">
        <f aca="false">IF(M5="Gap",1,IF(M5="OK",0,""))</f>
        <v/>
      </c>
      <c r="AC5" s="16" t="str">
        <f aca="false">IF(P5&lt;&gt;"",VALUE(RIGHT(P5,1))*1000+ROW(),"")</f>
        <v/>
      </c>
      <c r="AD5" s="16" t="str">
        <f aca="false">IF(ISNUMBER(L5),MIN(L5,K5),"")</f>
        <v/>
      </c>
      <c r="AE5" s="16" t="str">
        <f aca="false">IF(AND(ISNUMBER(SEARCH(" PA "," "&amp;SUBSTITUTE($I5,","," ")&amp;" ")),ISNUMBER($L5)),$L5,"")</f>
        <v/>
      </c>
      <c r="AF5" s="16" t="str">
        <f aca="false">IF(AND(ISNUMBER(SEARCH(" PO "," "&amp;SUBSTITUTE($I5,","," ")&amp;" ")),ISNUMBER($L5)),$L5,"")</f>
        <v/>
      </c>
      <c r="AG5" s="16" t="str">
        <f aca="false">IF(AND(ISNUMBER(SEARCH(" MFA "," "&amp;SUBSTITUTE($I5,","," ")&amp;" ")),ISNUMBER($L5)),$L5,"")</f>
        <v/>
      </c>
      <c r="AH5" s="16" t="str">
        <f aca="false">IF(AND(ISNUMBER(SEARCH(" RAP "," "&amp;SUBSTITUTE($I5,","," ")&amp;" ")),ISNUMBER($L5)),$L5,"")</f>
        <v/>
      </c>
      <c r="AI5" s="16" t="str">
        <f aca="false">IF(AND(ISNUMBER(SEARCH(" AC "," "&amp;SUBSTITUTE($I5,","," ")&amp;" ")),ISNUMBER($L5)),$L5,"")</f>
        <v/>
      </c>
      <c r="AJ5" s="16" t="str">
        <f aca="false">IF(AND(ISNUMBER(SEARCH(" MAC "," "&amp;SUBSTITUTE($I5,","," ")&amp;" ")),ISNUMBER($L5)),$L5,"")</f>
        <v/>
      </c>
      <c r="AK5" s="16" t="str">
        <f aca="false">IF(AND(ISNUMBER(SEARCH(" UAH "," "&amp;SUBSTITUTE($I5,","," ")&amp;" ")),ISNUMBER($L5)),$L5,"")</f>
        <v/>
      </c>
      <c r="AL5" s="16" t="str">
        <f aca="false">IF(AND(ISNUMBER(SEARCH(" RB "," "&amp;SUBSTITUTE($I5,","," ")&amp;" ")),ISNUMBER($L5)),$L5,"")</f>
        <v/>
      </c>
    </row>
    <row r="6" customFormat="false" ht="55.5" hidden="false" customHeight="true" outlineLevel="0" collapsed="false">
      <c r="A6" s="4" t="s">
        <v>183</v>
      </c>
      <c r="B6" s="5" t="s">
        <v>176</v>
      </c>
      <c r="C6" s="5" t="s">
        <v>177</v>
      </c>
      <c r="D6" s="5" t="s">
        <v>184</v>
      </c>
      <c r="E6" s="5" t="s">
        <v>185</v>
      </c>
      <c r="F6" s="5" t="s">
        <v>186</v>
      </c>
      <c r="G6" s="5" t="s">
        <v>187</v>
      </c>
      <c r="H6" s="5" t="s">
        <v>188</v>
      </c>
      <c r="I6" s="13" t="s">
        <v>189</v>
      </c>
      <c r="J6" s="13" t="s">
        <v>46</v>
      </c>
      <c r="K6" s="9" t="n">
        <v>2</v>
      </c>
      <c r="L6" s="9"/>
      <c r="M6" s="13" t="str">
        <f aca="false">IF(ISNUMBER(L6),IF(L6&lt;K6,"Gap","OK"),IF(L6="N/A","N/A",""))</f>
        <v/>
      </c>
      <c r="N6" s="9"/>
      <c r="O6" s="9"/>
      <c r="P6" s="13" t="str">
        <f aca="false">IF(AND(M6="Gap",N6&lt;&gt;"",O6&lt;&gt;""),VLOOKUP(N6&amp;O6,Lists!$H$4:$I$12,2,FALSE()),"")</f>
        <v/>
      </c>
      <c r="Q6" s="13" t="str">
        <f aca="false">IF(AND(M6="Gap",O6="S",OR(N6="H",N6="M")),"Yes","")</f>
        <v/>
      </c>
      <c r="R6" s="9" t="s">
        <v>46</v>
      </c>
      <c r="S6" s="14" t="str">
        <f aca="false">IF(A6="","",IFERROR(IF(OR(VLOOKUP(A6,AutoEvidence!$A$2:$G$400,2,FALSE())="Collected",VLOOKUP(A6,AutoEvidence!$A$2:$G$400,2,FALSE())="Partial"),VLOOKUP(A6,AutoEvidence!$A$2:$G$400,3,FALSE())&amp;" ("&amp;VLOOKUP(A6,AutoEvidence!$A$2:$G$400,2,FALSE())&amp;")",VLOOKUP(A6,AutoEvidence!$A$2:$G$400,2,FALSE())),""))</f>
        <v/>
      </c>
      <c r="T6" s="7" t="str">
        <f aca="false">IF(A6="","",IFERROR(VLOOKUP(A6,AutoEvidence!$A$2:$G$400,4,FALSE())&amp;"",""))</f>
        <v/>
      </c>
      <c r="U6" s="6"/>
      <c r="V6" s="6"/>
      <c r="W6" s="9"/>
      <c r="X6" s="6"/>
      <c r="Y6" s="6"/>
      <c r="Z6" s="9"/>
      <c r="AA6" s="15"/>
      <c r="AB6" s="13" t="str">
        <f aca="false">IF(M6="Gap",1,IF(M6="OK",0,""))</f>
        <v/>
      </c>
      <c r="AC6" s="16" t="str">
        <f aca="false">IF(P6&lt;&gt;"",VALUE(RIGHT(P6,1))*1000+ROW(),"")</f>
        <v/>
      </c>
      <c r="AD6" s="16" t="str">
        <f aca="false">IF(ISNUMBER(L6),MIN(L6,K6),"")</f>
        <v/>
      </c>
      <c r="AE6" s="16" t="str">
        <f aca="false">IF(AND(ISNUMBER(SEARCH(" PA "," "&amp;SUBSTITUTE($I6,","," ")&amp;" ")),ISNUMBER($L6)),$L6,"")</f>
        <v/>
      </c>
      <c r="AF6" s="16" t="str">
        <f aca="false">IF(AND(ISNUMBER(SEARCH(" PO "," "&amp;SUBSTITUTE($I6,","," ")&amp;" ")),ISNUMBER($L6)),$L6,"")</f>
        <v/>
      </c>
      <c r="AG6" s="16" t="str">
        <f aca="false">IF(AND(ISNUMBER(SEARCH(" MFA "," "&amp;SUBSTITUTE($I6,","," ")&amp;" ")),ISNUMBER($L6)),$L6,"")</f>
        <v/>
      </c>
      <c r="AH6" s="16" t="str">
        <f aca="false">IF(AND(ISNUMBER(SEARCH(" RAP "," "&amp;SUBSTITUTE($I6,","," ")&amp;" ")),ISNUMBER($L6)),$L6,"")</f>
        <v/>
      </c>
      <c r="AI6" s="16" t="str">
        <f aca="false">IF(AND(ISNUMBER(SEARCH(" AC "," "&amp;SUBSTITUTE($I6,","," ")&amp;" ")),ISNUMBER($L6)),$L6,"")</f>
        <v/>
      </c>
      <c r="AJ6" s="16" t="str">
        <f aca="false">IF(AND(ISNUMBER(SEARCH(" MAC "," "&amp;SUBSTITUTE($I6,","," ")&amp;" ")),ISNUMBER($L6)),$L6,"")</f>
        <v/>
      </c>
      <c r="AK6" s="16" t="str">
        <f aca="false">IF(AND(ISNUMBER(SEARCH(" UAH "," "&amp;SUBSTITUTE($I6,","," ")&amp;" ")),ISNUMBER($L6)),$L6,"")</f>
        <v/>
      </c>
      <c r="AL6" s="16" t="str">
        <f aca="false">IF(AND(ISNUMBER(SEARCH(" RB "," "&amp;SUBSTITUTE($I6,","," ")&amp;" ")),ISNUMBER($L6)),$L6,"")</f>
        <v/>
      </c>
    </row>
    <row r="7" customFormat="false" ht="55.5" hidden="false" customHeight="true" outlineLevel="0" collapsed="false">
      <c r="A7" s="4" t="s">
        <v>190</v>
      </c>
      <c r="B7" s="5" t="s">
        <v>176</v>
      </c>
      <c r="C7" s="5" t="s">
        <v>177</v>
      </c>
      <c r="D7" s="5" t="s">
        <v>191</v>
      </c>
      <c r="E7" s="5" t="s">
        <v>192</v>
      </c>
      <c r="F7" s="5" t="s">
        <v>193</v>
      </c>
      <c r="G7" s="5" t="s">
        <v>194</v>
      </c>
      <c r="H7" s="5" t="s">
        <v>195</v>
      </c>
      <c r="I7" s="13" t="s">
        <v>189</v>
      </c>
      <c r="J7" s="13" t="s">
        <v>50</v>
      </c>
      <c r="K7" s="9" t="n">
        <v>2</v>
      </c>
      <c r="L7" s="9"/>
      <c r="M7" s="13" t="str">
        <f aca="false">IF(ISNUMBER(L7),IF(L7&lt;K7,"Gap","OK"),IF(L7="N/A","N/A",""))</f>
        <v/>
      </c>
      <c r="N7" s="9"/>
      <c r="O7" s="9"/>
      <c r="P7" s="13" t="str">
        <f aca="false">IF(AND(M7="Gap",N7&lt;&gt;"",O7&lt;&gt;""),VLOOKUP(N7&amp;O7,Lists!$H$4:$I$12,2,FALSE()),"")</f>
        <v/>
      </c>
      <c r="Q7" s="13" t="str">
        <f aca="false">IF(AND(M7="Gap",O7="S",OR(N7="H",N7="M")),"Yes","")</f>
        <v/>
      </c>
      <c r="R7" s="9" t="s">
        <v>50</v>
      </c>
      <c r="S7" s="14" t="str">
        <f aca="false">IF(A7="","",IFERROR(IF(OR(VLOOKUP(A7,AutoEvidence!$A$2:$G$400,2,FALSE())="Collected",VLOOKUP(A7,AutoEvidence!$A$2:$G$400,2,FALSE())="Partial"),VLOOKUP(A7,AutoEvidence!$A$2:$G$400,3,FALSE())&amp;" ("&amp;VLOOKUP(A7,AutoEvidence!$A$2:$G$400,2,FALSE())&amp;")",VLOOKUP(A7,AutoEvidence!$A$2:$G$400,2,FALSE())),""))</f>
        <v/>
      </c>
      <c r="T7" s="7" t="str">
        <f aca="false">IF(A7="","",IFERROR(VLOOKUP(A7,AutoEvidence!$A$2:$G$400,4,FALSE())&amp;"",""))</f>
        <v/>
      </c>
      <c r="U7" s="6"/>
      <c r="V7" s="6"/>
      <c r="W7" s="9"/>
      <c r="X7" s="6"/>
      <c r="Y7" s="6"/>
      <c r="Z7" s="9"/>
      <c r="AA7" s="15"/>
      <c r="AB7" s="13" t="str">
        <f aca="false">IF(M7="Gap",1,IF(M7="OK",0,""))</f>
        <v/>
      </c>
      <c r="AC7" s="16" t="str">
        <f aca="false">IF(P7&lt;&gt;"",VALUE(RIGHT(P7,1))*1000+ROW(),"")</f>
        <v/>
      </c>
      <c r="AD7" s="16" t="str">
        <f aca="false">IF(ISNUMBER(L7),MIN(L7,K7),"")</f>
        <v/>
      </c>
      <c r="AE7" s="16" t="str">
        <f aca="false">IF(AND(ISNUMBER(SEARCH(" PA "," "&amp;SUBSTITUTE($I7,","," ")&amp;" ")),ISNUMBER($L7)),$L7,"")</f>
        <v/>
      </c>
      <c r="AF7" s="16" t="str">
        <f aca="false">IF(AND(ISNUMBER(SEARCH(" PO "," "&amp;SUBSTITUTE($I7,","," ")&amp;" ")),ISNUMBER($L7)),$L7,"")</f>
        <v/>
      </c>
      <c r="AG7" s="16" t="str">
        <f aca="false">IF(AND(ISNUMBER(SEARCH(" MFA "," "&amp;SUBSTITUTE($I7,","," ")&amp;" ")),ISNUMBER($L7)),$L7,"")</f>
        <v/>
      </c>
      <c r="AH7" s="16" t="str">
        <f aca="false">IF(AND(ISNUMBER(SEARCH(" RAP "," "&amp;SUBSTITUTE($I7,","," ")&amp;" ")),ISNUMBER($L7)),$L7,"")</f>
        <v/>
      </c>
      <c r="AI7" s="16" t="str">
        <f aca="false">IF(AND(ISNUMBER(SEARCH(" AC "," "&amp;SUBSTITUTE($I7,","," ")&amp;" ")),ISNUMBER($L7)),$L7,"")</f>
        <v/>
      </c>
      <c r="AJ7" s="16" t="str">
        <f aca="false">IF(AND(ISNUMBER(SEARCH(" MAC "," "&amp;SUBSTITUTE($I7,","," ")&amp;" ")),ISNUMBER($L7)),$L7,"")</f>
        <v/>
      </c>
      <c r="AK7" s="16" t="str">
        <f aca="false">IF(AND(ISNUMBER(SEARCH(" UAH "," "&amp;SUBSTITUTE($I7,","," ")&amp;" ")),ISNUMBER($L7)),$L7,"")</f>
        <v/>
      </c>
      <c r="AL7" s="16" t="str">
        <f aca="false">IF(AND(ISNUMBER(SEARCH(" RB "," "&amp;SUBSTITUTE($I7,","," ")&amp;" ")),ISNUMBER($L7)),$L7,"")</f>
        <v/>
      </c>
    </row>
    <row r="8" customFormat="false" ht="55.5" hidden="false" customHeight="true" outlineLevel="0" collapsed="false">
      <c r="A8" s="4" t="s">
        <v>196</v>
      </c>
      <c r="B8" s="5" t="s">
        <v>176</v>
      </c>
      <c r="C8" s="5" t="s">
        <v>177</v>
      </c>
      <c r="D8" s="5" t="s">
        <v>197</v>
      </c>
      <c r="E8" s="5" t="s">
        <v>198</v>
      </c>
      <c r="F8" s="5" t="s">
        <v>199</v>
      </c>
      <c r="G8" s="5" t="s">
        <v>200</v>
      </c>
      <c r="H8" s="5" t="s">
        <v>201</v>
      </c>
      <c r="I8" s="13" t="s">
        <v>189</v>
      </c>
      <c r="J8" s="13" t="s">
        <v>46</v>
      </c>
      <c r="K8" s="9" t="n">
        <v>2</v>
      </c>
      <c r="L8" s="9"/>
      <c r="M8" s="13" t="str">
        <f aca="false">IF(ISNUMBER(L8),IF(L8&lt;K8,"Gap","OK"),IF(L8="N/A","N/A",""))</f>
        <v/>
      </c>
      <c r="N8" s="9"/>
      <c r="O8" s="9"/>
      <c r="P8" s="13" t="str">
        <f aca="false">IF(AND(M8="Gap",N8&lt;&gt;"",O8&lt;&gt;""),VLOOKUP(N8&amp;O8,Lists!$H$4:$I$12,2,FALSE()),"")</f>
        <v/>
      </c>
      <c r="Q8" s="13" t="str">
        <f aca="false">IF(AND(M8="Gap",O8="S",OR(N8="H",N8="M")),"Yes","")</f>
        <v/>
      </c>
      <c r="R8" s="9" t="s">
        <v>46</v>
      </c>
      <c r="S8" s="14" t="str">
        <f aca="false">IF(A8="","",IFERROR(IF(OR(VLOOKUP(A8,AutoEvidence!$A$2:$G$400,2,FALSE())="Collected",VLOOKUP(A8,AutoEvidence!$A$2:$G$400,2,FALSE())="Partial"),VLOOKUP(A8,AutoEvidence!$A$2:$G$400,3,FALSE())&amp;" ("&amp;VLOOKUP(A8,AutoEvidence!$A$2:$G$400,2,FALSE())&amp;")",VLOOKUP(A8,AutoEvidence!$A$2:$G$400,2,FALSE())),""))</f>
        <v/>
      </c>
      <c r="T8" s="7" t="str">
        <f aca="false">IF(A8="","",IFERROR(VLOOKUP(A8,AutoEvidence!$A$2:$G$400,4,FALSE())&amp;"",""))</f>
        <v/>
      </c>
      <c r="U8" s="6"/>
      <c r="V8" s="6"/>
      <c r="W8" s="9"/>
      <c r="X8" s="6"/>
      <c r="Y8" s="6"/>
      <c r="Z8" s="9"/>
      <c r="AA8" s="15"/>
      <c r="AB8" s="13" t="str">
        <f aca="false">IF(M8="Gap",1,IF(M8="OK",0,""))</f>
        <v/>
      </c>
      <c r="AC8" s="16" t="str">
        <f aca="false">IF(P8&lt;&gt;"",VALUE(RIGHT(P8,1))*1000+ROW(),"")</f>
        <v/>
      </c>
      <c r="AD8" s="16" t="str">
        <f aca="false">IF(ISNUMBER(L8),MIN(L8,K8),"")</f>
        <v/>
      </c>
      <c r="AE8" s="16" t="str">
        <f aca="false">IF(AND(ISNUMBER(SEARCH(" PA "," "&amp;SUBSTITUTE($I8,","," ")&amp;" ")),ISNUMBER($L8)),$L8,"")</f>
        <v/>
      </c>
      <c r="AF8" s="16" t="str">
        <f aca="false">IF(AND(ISNUMBER(SEARCH(" PO "," "&amp;SUBSTITUTE($I8,","," ")&amp;" ")),ISNUMBER($L8)),$L8,"")</f>
        <v/>
      </c>
      <c r="AG8" s="16" t="str">
        <f aca="false">IF(AND(ISNUMBER(SEARCH(" MFA "," "&amp;SUBSTITUTE($I8,","," ")&amp;" ")),ISNUMBER($L8)),$L8,"")</f>
        <v/>
      </c>
      <c r="AH8" s="16" t="str">
        <f aca="false">IF(AND(ISNUMBER(SEARCH(" RAP "," "&amp;SUBSTITUTE($I8,","," ")&amp;" ")),ISNUMBER($L8)),$L8,"")</f>
        <v/>
      </c>
      <c r="AI8" s="16" t="str">
        <f aca="false">IF(AND(ISNUMBER(SEARCH(" AC "," "&amp;SUBSTITUTE($I8,","," ")&amp;" ")),ISNUMBER($L8)),$L8,"")</f>
        <v/>
      </c>
      <c r="AJ8" s="16" t="str">
        <f aca="false">IF(AND(ISNUMBER(SEARCH(" MAC "," "&amp;SUBSTITUTE($I8,","," ")&amp;" ")),ISNUMBER($L8)),$L8,"")</f>
        <v/>
      </c>
      <c r="AK8" s="16" t="str">
        <f aca="false">IF(AND(ISNUMBER(SEARCH(" UAH "," "&amp;SUBSTITUTE($I8,","," ")&amp;" ")),ISNUMBER($L8)),$L8,"")</f>
        <v/>
      </c>
      <c r="AL8" s="16" t="str">
        <f aca="false">IF(AND(ISNUMBER(SEARCH(" RB "," "&amp;SUBSTITUTE($I8,","," ")&amp;" ")),ISNUMBER($L8)),$L8,"")</f>
        <v/>
      </c>
    </row>
    <row r="9" customFormat="false" ht="69" hidden="false" customHeight="true" outlineLevel="0" collapsed="false">
      <c r="A9" s="4" t="s">
        <v>202</v>
      </c>
      <c r="B9" s="5" t="s">
        <v>176</v>
      </c>
      <c r="C9" s="5" t="s">
        <v>177</v>
      </c>
      <c r="D9" s="5" t="s">
        <v>203</v>
      </c>
      <c r="E9" s="5" t="s">
        <v>204</v>
      </c>
      <c r="F9" s="5" t="s">
        <v>205</v>
      </c>
      <c r="G9" s="5" t="s">
        <v>206</v>
      </c>
      <c r="H9" s="5" t="s">
        <v>207</v>
      </c>
      <c r="I9" s="13" t="s">
        <v>208</v>
      </c>
      <c r="J9" s="13" t="s">
        <v>46</v>
      </c>
      <c r="K9" s="9" t="n">
        <v>2</v>
      </c>
      <c r="L9" s="9"/>
      <c r="M9" s="13" t="str">
        <f aca="false">IF(ISNUMBER(L9),IF(L9&lt;K9,"Gap","OK"),IF(L9="N/A","N/A",""))</f>
        <v/>
      </c>
      <c r="N9" s="9"/>
      <c r="O9" s="9"/>
      <c r="P9" s="13" t="str">
        <f aca="false">IF(AND(M9="Gap",N9&lt;&gt;"",O9&lt;&gt;""),VLOOKUP(N9&amp;O9,Lists!$H$4:$I$12,2,FALSE()),"")</f>
        <v/>
      </c>
      <c r="Q9" s="13" t="str">
        <f aca="false">IF(AND(M9="Gap",O9="S",OR(N9="H",N9="M")),"Yes","")</f>
        <v/>
      </c>
      <c r="R9" s="9" t="s">
        <v>46</v>
      </c>
      <c r="S9" s="14" t="str">
        <f aca="false">IF(A9="","",IFERROR(IF(OR(VLOOKUP(A9,AutoEvidence!$A$2:$G$400,2,FALSE())="Collected",VLOOKUP(A9,AutoEvidence!$A$2:$G$400,2,FALSE())="Partial"),VLOOKUP(A9,AutoEvidence!$A$2:$G$400,3,FALSE())&amp;" ("&amp;VLOOKUP(A9,AutoEvidence!$A$2:$G$400,2,FALSE())&amp;")",VLOOKUP(A9,AutoEvidence!$A$2:$G$400,2,FALSE())),""))</f>
        <v/>
      </c>
      <c r="T9" s="7" t="str">
        <f aca="false">IF(A9="","",IFERROR(VLOOKUP(A9,AutoEvidence!$A$2:$G$400,4,FALSE())&amp;"",""))</f>
        <v/>
      </c>
      <c r="U9" s="6"/>
      <c r="V9" s="6"/>
      <c r="W9" s="9"/>
      <c r="X9" s="6"/>
      <c r="Y9" s="6"/>
      <c r="Z9" s="9"/>
      <c r="AA9" s="15"/>
      <c r="AB9" s="13" t="str">
        <f aca="false">IF(M9="Gap",1,IF(M9="OK",0,""))</f>
        <v/>
      </c>
      <c r="AC9" s="16" t="str">
        <f aca="false">IF(P9&lt;&gt;"",VALUE(RIGHT(P9,1))*1000+ROW(),"")</f>
        <v/>
      </c>
      <c r="AD9" s="16" t="str">
        <f aca="false">IF(ISNUMBER(L9),MIN(L9,K9),"")</f>
        <v/>
      </c>
      <c r="AE9" s="16" t="str">
        <f aca="false">IF(AND(ISNUMBER(SEARCH(" PA "," "&amp;SUBSTITUTE($I9,","," ")&amp;" ")),ISNUMBER($L9)),$L9,"")</f>
        <v/>
      </c>
      <c r="AF9" s="16" t="str">
        <f aca="false">IF(AND(ISNUMBER(SEARCH(" PO "," "&amp;SUBSTITUTE($I9,","," ")&amp;" ")),ISNUMBER($L9)),$L9,"")</f>
        <v/>
      </c>
      <c r="AG9" s="16" t="str">
        <f aca="false">IF(AND(ISNUMBER(SEARCH(" MFA "," "&amp;SUBSTITUTE($I9,","," ")&amp;" ")),ISNUMBER($L9)),$L9,"")</f>
        <v/>
      </c>
      <c r="AH9" s="16" t="str">
        <f aca="false">IF(AND(ISNUMBER(SEARCH(" RAP "," "&amp;SUBSTITUTE($I9,","," ")&amp;" ")),ISNUMBER($L9)),$L9,"")</f>
        <v/>
      </c>
      <c r="AI9" s="16" t="str">
        <f aca="false">IF(AND(ISNUMBER(SEARCH(" AC "," "&amp;SUBSTITUTE($I9,","," ")&amp;" ")),ISNUMBER($L9)),$L9,"")</f>
        <v/>
      </c>
      <c r="AJ9" s="16" t="str">
        <f aca="false">IF(AND(ISNUMBER(SEARCH(" MAC "," "&amp;SUBSTITUTE($I9,","," ")&amp;" ")),ISNUMBER($L9)),$L9,"")</f>
        <v/>
      </c>
      <c r="AK9" s="16" t="str">
        <f aca="false">IF(AND(ISNUMBER(SEARCH(" UAH "," "&amp;SUBSTITUTE($I9,","," ")&amp;" ")),ISNUMBER($L9)),$L9,"")</f>
        <v/>
      </c>
      <c r="AL9" s="16" t="str">
        <f aca="false">IF(AND(ISNUMBER(SEARCH(" RB "," "&amp;SUBSTITUTE($I9,","," ")&amp;" ")),ISNUMBER($L9)),$L9,"")</f>
        <v/>
      </c>
    </row>
    <row r="10" customFormat="false" ht="55.5" hidden="false" customHeight="true" outlineLevel="0" collapsed="false">
      <c r="A10" s="4" t="s">
        <v>209</v>
      </c>
      <c r="B10" s="5" t="s">
        <v>176</v>
      </c>
      <c r="C10" s="5" t="s">
        <v>177</v>
      </c>
      <c r="D10" s="5" t="s">
        <v>210</v>
      </c>
      <c r="E10" s="5" t="s">
        <v>211</v>
      </c>
      <c r="F10" s="5" t="s">
        <v>212</v>
      </c>
      <c r="G10" s="5" t="s">
        <v>213</v>
      </c>
      <c r="H10" s="5" t="s">
        <v>214</v>
      </c>
      <c r="I10" s="13" t="s">
        <v>208</v>
      </c>
      <c r="J10" s="13" t="s">
        <v>50</v>
      </c>
      <c r="K10" s="9" t="n">
        <v>2</v>
      </c>
      <c r="L10" s="9"/>
      <c r="M10" s="13" t="str">
        <f aca="false">IF(ISNUMBER(L10),IF(L10&lt;K10,"Gap","OK"),IF(L10="N/A","N/A",""))</f>
        <v/>
      </c>
      <c r="N10" s="9"/>
      <c r="O10" s="9"/>
      <c r="P10" s="13" t="str">
        <f aca="false">IF(AND(M10="Gap",N10&lt;&gt;"",O10&lt;&gt;""),VLOOKUP(N10&amp;O10,Lists!$H$4:$I$12,2,FALSE()),"")</f>
        <v/>
      </c>
      <c r="Q10" s="13" t="str">
        <f aca="false">IF(AND(M10="Gap",O10="S",OR(N10="H",N10="M")),"Yes","")</f>
        <v/>
      </c>
      <c r="R10" s="9" t="s">
        <v>50</v>
      </c>
      <c r="S10" s="14" t="str">
        <f aca="false">IF(A10="","",IFERROR(IF(OR(VLOOKUP(A10,AutoEvidence!$A$2:$G$400,2,FALSE())="Collected",VLOOKUP(A10,AutoEvidence!$A$2:$G$400,2,FALSE())="Partial"),VLOOKUP(A10,AutoEvidence!$A$2:$G$400,3,FALSE())&amp;" ("&amp;VLOOKUP(A10,AutoEvidence!$A$2:$G$400,2,FALSE())&amp;")",VLOOKUP(A10,AutoEvidence!$A$2:$G$400,2,FALSE())),""))</f>
        <v/>
      </c>
      <c r="T10" s="7" t="str">
        <f aca="false">IF(A10="","",IFERROR(VLOOKUP(A10,AutoEvidence!$A$2:$G$400,4,FALSE())&amp;"",""))</f>
        <v/>
      </c>
      <c r="U10" s="6"/>
      <c r="V10" s="6"/>
      <c r="W10" s="9"/>
      <c r="X10" s="6"/>
      <c r="Y10" s="6"/>
      <c r="Z10" s="9"/>
      <c r="AA10" s="15"/>
      <c r="AB10" s="13" t="str">
        <f aca="false">IF(M10="Gap",1,IF(M10="OK",0,""))</f>
        <v/>
      </c>
      <c r="AC10" s="16" t="str">
        <f aca="false">IF(P10&lt;&gt;"",VALUE(RIGHT(P10,1))*1000+ROW(),"")</f>
        <v/>
      </c>
      <c r="AD10" s="16" t="str">
        <f aca="false">IF(ISNUMBER(L10),MIN(L10,K10),"")</f>
        <v/>
      </c>
      <c r="AE10" s="16" t="str">
        <f aca="false">IF(AND(ISNUMBER(SEARCH(" PA "," "&amp;SUBSTITUTE($I10,","," ")&amp;" ")),ISNUMBER($L10)),$L10,"")</f>
        <v/>
      </c>
      <c r="AF10" s="16" t="str">
        <f aca="false">IF(AND(ISNUMBER(SEARCH(" PO "," "&amp;SUBSTITUTE($I10,","," ")&amp;" ")),ISNUMBER($L10)),$L10,"")</f>
        <v/>
      </c>
      <c r="AG10" s="16" t="str">
        <f aca="false">IF(AND(ISNUMBER(SEARCH(" MFA "," "&amp;SUBSTITUTE($I10,","," ")&amp;" ")),ISNUMBER($L10)),$L10,"")</f>
        <v/>
      </c>
      <c r="AH10" s="16" t="str">
        <f aca="false">IF(AND(ISNUMBER(SEARCH(" RAP "," "&amp;SUBSTITUTE($I10,","," ")&amp;" ")),ISNUMBER($L10)),$L10,"")</f>
        <v/>
      </c>
      <c r="AI10" s="16" t="str">
        <f aca="false">IF(AND(ISNUMBER(SEARCH(" AC "," "&amp;SUBSTITUTE($I10,","," ")&amp;" ")),ISNUMBER($L10)),$L10,"")</f>
        <v/>
      </c>
      <c r="AJ10" s="16" t="str">
        <f aca="false">IF(AND(ISNUMBER(SEARCH(" MAC "," "&amp;SUBSTITUTE($I10,","," ")&amp;" ")),ISNUMBER($L10)),$L10,"")</f>
        <v/>
      </c>
      <c r="AK10" s="16" t="str">
        <f aca="false">IF(AND(ISNUMBER(SEARCH(" UAH "," "&amp;SUBSTITUTE($I10,","," ")&amp;" ")),ISNUMBER($L10)),$L10,"")</f>
        <v/>
      </c>
      <c r="AL10" s="16" t="str">
        <f aca="false">IF(AND(ISNUMBER(SEARCH(" RB "," "&amp;SUBSTITUTE($I10,","," ")&amp;" ")),ISNUMBER($L10)),$L10,"")</f>
        <v/>
      </c>
    </row>
    <row r="11" customFormat="false" ht="55.5" hidden="false" customHeight="true" outlineLevel="0" collapsed="false">
      <c r="A11" s="4" t="s">
        <v>215</v>
      </c>
      <c r="B11" s="5" t="s">
        <v>176</v>
      </c>
      <c r="C11" s="5" t="s">
        <v>177</v>
      </c>
      <c r="D11" s="5" t="s">
        <v>216</v>
      </c>
      <c r="E11" s="5" t="s">
        <v>217</v>
      </c>
      <c r="F11" s="5" t="s">
        <v>218</v>
      </c>
      <c r="G11" s="5" t="s">
        <v>219</v>
      </c>
      <c r="H11" s="5" t="s">
        <v>220</v>
      </c>
      <c r="I11" s="13" t="s">
        <v>208</v>
      </c>
      <c r="J11" s="13" t="s">
        <v>46</v>
      </c>
      <c r="K11" s="9" t="n">
        <v>2</v>
      </c>
      <c r="L11" s="9"/>
      <c r="M11" s="13" t="str">
        <f aca="false">IF(ISNUMBER(L11),IF(L11&lt;K11,"Gap","OK"),IF(L11="N/A","N/A",""))</f>
        <v/>
      </c>
      <c r="N11" s="9"/>
      <c r="O11" s="9"/>
      <c r="P11" s="13" t="str">
        <f aca="false">IF(AND(M11="Gap",N11&lt;&gt;"",O11&lt;&gt;""),VLOOKUP(N11&amp;O11,Lists!$H$4:$I$12,2,FALSE()),"")</f>
        <v/>
      </c>
      <c r="Q11" s="13" t="str">
        <f aca="false">IF(AND(M11="Gap",O11="S",OR(N11="H",N11="M")),"Yes","")</f>
        <v/>
      </c>
      <c r="R11" s="9" t="s">
        <v>46</v>
      </c>
      <c r="S11" s="14" t="str">
        <f aca="false">IF(A11="","",IFERROR(IF(OR(VLOOKUP(A11,AutoEvidence!$A$2:$G$400,2,FALSE())="Collected",VLOOKUP(A11,AutoEvidence!$A$2:$G$400,2,FALSE())="Partial"),VLOOKUP(A11,AutoEvidence!$A$2:$G$400,3,FALSE())&amp;" ("&amp;VLOOKUP(A11,AutoEvidence!$A$2:$G$400,2,FALSE())&amp;")",VLOOKUP(A11,AutoEvidence!$A$2:$G$400,2,FALSE())),""))</f>
        <v/>
      </c>
      <c r="T11" s="7" t="str">
        <f aca="false">IF(A11="","",IFERROR(VLOOKUP(A11,AutoEvidence!$A$2:$G$400,4,FALSE())&amp;"",""))</f>
        <v/>
      </c>
      <c r="U11" s="6"/>
      <c r="V11" s="6"/>
      <c r="W11" s="9"/>
      <c r="X11" s="6"/>
      <c r="Y11" s="6"/>
      <c r="Z11" s="9"/>
      <c r="AA11" s="15"/>
      <c r="AB11" s="13" t="str">
        <f aca="false">IF(M11="Gap",1,IF(M11="OK",0,""))</f>
        <v/>
      </c>
      <c r="AC11" s="16" t="str">
        <f aca="false">IF(P11&lt;&gt;"",VALUE(RIGHT(P11,1))*1000+ROW(),"")</f>
        <v/>
      </c>
      <c r="AD11" s="16" t="str">
        <f aca="false">IF(ISNUMBER(L11),MIN(L11,K11),"")</f>
        <v/>
      </c>
      <c r="AE11" s="16" t="str">
        <f aca="false">IF(AND(ISNUMBER(SEARCH(" PA "," "&amp;SUBSTITUTE($I11,","," ")&amp;" ")),ISNUMBER($L11)),$L11,"")</f>
        <v/>
      </c>
      <c r="AF11" s="16" t="str">
        <f aca="false">IF(AND(ISNUMBER(SEARCH(" PO "," "&amp;SUBSTITUTE($I11,","," ")&amp;" ")),ISNUMBER($L11)),$L11,"")</f>
        <v/>
      </c>
      <c r="AG11" s="16" t="str">
        <f aca="false">IF(AND(ISNUMBER(SEARCH(" MFA "," "&amp;SUBSTITUTE($I11,","," ")&amp;" ")),ISNUMBER($L11)),$L11,"")</f>
        <v/>
      </c>
      <c r="AH11" s="16" t="str">
        <f aca="false">IF(AND(ISNUMBER(SEARCH(" RAP "," "&amp;SUBSTITUTE($I11,","," ")&amp;" ")),ISNUMBER($L11)),$L11,"")</f>
        <v/>
      </c>
      <c r="AI11" s="16" t="str">
        <f aca="false">IF(AND(ISNUMBER(SEARCH(" AC "," "&amp;SUBSTITUTE($I11,","," ")&amp;" ")),ISNUMBER($L11)),$L11,"")</f>
        <v/>
      </c>
      <c r="AJ11" s="16" t="str">
        <f aca="false">IF(AND(ISNUMBER(SEARCH(" MAC "," "&amp;SUBSTITUTE($I11,","," ")&amp;" ")),ISNUMBER($L11)),$L11,"")</f>
        <v/>
      </c>
      <c r="AK11" s="16" t="str">
        <f aca="false">IF(AND(ISNUMBER(SEARCH(" UAH "," "&amp;SUBSTITUTE($I11,","," ")&amp;" ")),ISNUMBER($L11)),$L11,"")</f>
        <v/>
      </c>
      <c r="AL11" s="16" t="str">
        <f aca="false">IF(AND(ISNUMBER(SEARCH(" RB "," "&amp;SUBSTITUTE($I11,","," ")&amp;" ")),ISNUMBER($L11)),$L11,"")</f>
        <v/>
      </c>
    </row>
    <row r="12" customFormat="false" ht="55.5" hidden="false" customHeight="true" outlineLevel="0" collapsed="false">
      <c r="A12" s="4" t="s">
        <v>221</v>
      </c>
      <c r="B12" s="5" t="s">
        <v>176</v>
      </c>
      <c r="C12" s="5" t="s">
        <v>177</v>
      </c>
      <c r="D12" s="5" t="s">
        <v>222</v>
      </c>
      <c r="E12" s="5" t="s">
        <v>223</v>
      </c>
      <c r="F12" s="5" t="s">
        <v>224</v>
      </c>
      <c r="G12" s="5" t="s">
        <v>225</v>
      </c>
      <c r="H12" s="5" t="s">
        <v>226</v>
      </c>
      <c r="I12" s="13"/>
      <c r="J12" s="13" t="s">
        <v>50</v>
      </c>
      <c r="K12" s="9" t="n">
        <v>2</v>
      </c>
      <c r="L12" s="9"/>
      <c r="M12" s="13" t="str">
        <f aca="false">IF(ISNUMBER(L12),IF(L12&lt;K12,"Gap","OK"),IF(L12="N/A","N/A",""))</f>
        <v/>
      </c>
      <c r="N12" s="9"/>
      <c r="O12" s="9"/>
      <c r="P12" s="13" t="str">
        <f aca="false">IF(AND(M12="Gap",N12&lt;&gt;"",O12&lt;&gt;""),VLOOKUP(N12&amp;O12,Lists!$H$4:$I$12,2,FALSE()),"")</f>
        <v/>
      </c>
      <c r="Q12" s="13" t="str">
        <f aca="false">IF(AND(M12="Gap",O12="S",OR(N12="H",N12="M")),"Yes","")</f>
        <v/>
      </c>
      <c r="R12" s="9" t="s">
        <v>50</v>
      </c>
      <c r="S12" s="14" t="str">
        <f aca="false">IF(A12="","",IFERROR(IF(OR(VLOOKUP(A12,AutoEvidence!$A$2:$G$400,2,FALSE())="Collected",VLOOKUP(A12,AutoEvidence!$A$2:$G$400,2,FALSE())="Partial"),VLOOKUP(A12,AutoEvidence!$A$2:$G$400,3,FALSE())&amp;" ("&amp;VLOOKUP(A12,AutoEvidence!$A$2:$G$400,2,FALSE())&amp;")",VLOOKUP(A12,AutoEvidence!$A$2:$G$400,2,FALSE())),""))</f>
        <v/>
      </c>
      <c r="T12" s="7" t="str">
        <f aca="false">IF(A12="","",IFERROR(VLOOKUP(A12,AutoEvidence!$A$2:$G$400,4,FALSE())&amp;"",""))</f>
        <v/>
      </c>
      <c r="U12" s="6"/>
      <c r="V12" s="6"/>
      <c r="W12" s="9"/>
      <c r="X12" s="6"/>
      <c r="Y12" s="6"/>
      <c r="Z12" s="9"/>
      <c r="AA12" s="15"/>
      <c r="AB12" s="13" t="str">
        <f aca="false">IF(M12="Gap",1,IF(M12="OK",0,""))</f>
        <v/>
      </c>
      <c r="AC12" s="16" t="str">
        <f aca="false">IF(P12&lt;&gt;"",VALUE(RIGHT(P12,1))*1000+ROW(),"")</f>
        <v/>
      </c>
      <c r="AD12" s="16" t="str">
        <f aca="false">IF(ISNUMBER(L12),MIN(L12,K12),"")</f>
        <v/>
      </c>
      <c r="AE12" s="16" t="str">
        <f aca="false">IF(AND(ISNUMBER(SEARCH(" PA "," "&amp;SUBSTITUTE($I12,","," ")&amp;" ")),ISNUMBER($L12)),$L12,"")</f>
        <v/>
      </c>
      <c r="AF12" s="16" t="str">
        <f aca="false">IF(AND(ISNUMBER(SEARCH(" PO "," "&amp;SUBSTITUTE($I12,","," ")&amp;" ")),ISNUMBER($L12)),$L12,"")</f>
        <v/>
      </c>
      <c r="AG12" s="16" t="str">
        <f aca="false">IF(AND(ISNUMBER(SEARCH(" MFA "," "&amp;SUBSTITUTE($I12,","," ")&amp;" ")),ISNUMBER($L12)),$L12,"")</f>
        <v/>
      </c>
      <c r="AH12" s="16" t="str">
        <f aca="false">IF(AND(ISNUMBER(SEARCH(" RAP "," "&amp;SUBSTITUTE($I12,","," ")&amp;" ")),ISNUMBER($L12)),$L12,"")</f>
        <v/>
      </c>
      <c r="AI12" s="16" t="str">
        <f aca="false">IF(AND(ISNUMBER(SEARCH(" AC "," "&amp;SUBSTITUTE($I12,","," ")&amp;" ")),ISNUMBER($L12)),$L12,"")</f>
        <v/>
      </c>
      <c r="AJ12" s="16" t="str">
        <f aca="false">IF(AND(ISNUMBER(SEARCH(" MAC "," "&amp;SUBSTITUTE($I12,","," ")&amp;" ")),ISNUMBER($L12)),$L12,"")</f>
        <v/>
      </c>
      <c r="AK12" s="16" t="str">
        <f aca="false">IF(AND(ISNUMBER(SEARCH(" UAH "," "&amp;SUBSTITUTE($I12,","," ")&amp;" ")),ISNUMBER($L12)),$L12,"")</f>
        <v/>
      </c>
      <c r="AL12" s="16" t="str">
        <f aca="false">IF(AND(ISNUMBER(SEARCH(" RB "," "&amp;SUBSTITUTE($I12,","," ")&amp;" ")),ISNUMBER($L12)),$L12,"")</f>
        <v/>
      </c>
    </row>
    <row r="13" customFormat="false" ht="55.5" hidden="false" customHeight="true" outlineLevel="0" collapsed="false">
      <c r="A13" s="4" t="s">
        <v>227</v>
      </c>
      <c r="B13" s="5" t="s">
        <v>176</v>
      </c>
      <c r="C13" s="5" t="s">
        <v>177</v>
      </c>
      <c r="D13" s="5" t="s">
        <v>228</v>
      </c>
      <c r="E13" s="5" t="s">
        <v>229</v>
      </c>
      <c r="F13" s="5" t="s">
        <v>230</v>
      </c>
      <c r="G13" s="5" t="s">
        <v>231</v>
      </c>
      <c r="H13" s="5" t="s">
        <v>232</v>
      </c>
      <c r="I13" s="13" t="s">
        <v>208</v>
      </c>
      <c r="J13" s="13" t="s">
        <v>46</v>
      </c>
      <c r="K13" s="9" t="n">
        <v>2</v>
      </c>
      <c r="L13" s="9"/>
      <c r="M13" s="13" t="str">
        <f aca="false">IF(ISNUMBER(L13),IF(L13&lt;K13,"Gap","OK"),IF(L13="N/A","N/A",""))</f>
        <v/>
      </c>
      <c r="N13" s="9"/>
      <c r="O13" s="9"/>
      <c r="P13" s="13" t="str">
        <f aca="false">IF(AND(M13="Gap",N13&lt;&gt;"",O13&lt;&gt;""),VLOOKUP(N13&amp;O13,Lists!$H$4:$I$12,2,FALSE()),"")</f>
        <v/>
      </c>
      <c r="Q13" s="13" t="str">
        <f aca="false">IF(AND(M13="Gap",O13="S",OR(N13="H",N13="M")),"Yes","")</f>
        <v/>
      </c>
      <c r="R13" s="9" t="s">
        <v>46</v>
      </c>
      <c r="S13" s="14" t="str">
        <f aca="false">IF(A13="","",IFERROR(IF(OR(VLOOKUP(A13,AutoEvidence!$A$2:$G$400,2,FALSE())="Collected",VLOOKUP(A13,AutoEvidence!$A$2:$G$400,2,FALSE())="Partial"),VLOOKUP(A13,AutoEvidence!$A$2:$G$400,3,FALSE())&amp;" ("&amp;VLOOKUP(A13,AutoEvidence!$A$2:$G$400,2,FALSE())&amp;")",VLOOKUP(A13,AutoEvidence!$A$2:$G$400,2,FALSE())),""))</f>
        <v/>
      </c>
      <c r="T13" s="7" t="str">
        <f aca="false">IF(A13="","",IFERROR(VLOOKUP(A13,AutoEvidence!$A$2:$G$400,4,FALSE())&amp;"",""))</f>
        <v/>
      </c>
      <c r="U13" s="6"/>
      <c r="V13" s="6"/>
      <c r="W13" s="9"/>
      <c r="X13" s="6"/>
      <c r="Y13" s="6"/>
      <c r="Z13" s="9"/>
      <c r="AA13" s="15"/>
      <c r="AB13" s="13" t="str">
        <f aca="false">IF(M13="Gap",1,IF(M13="OK",0,""))</f>
        <v/>
      </c>
      <c r="AC13" s="16" t="str">
        <f aca="false">IF(P13&lt;&gt;"",VALUE(RIGHT(P13,1))*1000+ROW(),"")</f>
        <v/>
      </c>
      <c r="AD13" s="16" t="str">
        <f aca="false">IF(ISNUMBER(L13),MIN(L13,K13),"")</f>
        <v/>
      </c>
      <c r="AE13" s="16" t="str">
        <f aca="false">IF(AND(ISNUMBER(SEARCH(" PA "," "&amp;SUBSTITUTE($I13,","," ")&amp;" ")),ISNUMBER($L13)),$L13,"")</f>
        <v/>
      </c>
      <c r="AF13" s="16" t="str">
        <f aca="false">IF(AND(ISNUMBER(SEARCH(" PO "," "&amp;SUBSTITUTE($I13,","," ")&amp;" ")),ISNUMBER($L13)),$L13,"")</f>
        <v/>
      </c>
      <c r="AG13" s="16" t="str">
        <f aca="false">IF(AND(ISNUMBER(SEARCH(" MFA "," "&amp;SUBSTITUTE($I13,","," ")&amp;" ")),ISNUMBER($L13)),$L13,"")</f>
        <v/>
      </c>
      <c r="AH13" s="16" t="str">
        <f aca="false">IF(AND(ISNUMBER(SEARCH(" RAP "," "&amp;SUBSTITUTE($I13,","," ")&amp;" ")),ISNUMBER($L13)),$L13,"")</f>
        <v/>
      </c>
      <c r="AI13" s="16" t="str">
        <f aca="false">IF(AND(ISNUMBER(SEARCH(" AC "," "&amp;SUBSTITUTE($I13,","," ")&amp;" ")),ISNUMBER($L13)),$L13,"")</f>
        <v/>
      </c>
      <c r="AJ13" s="16" t="str">
        <f aca="false">IF(AND(ISNUMBER(SEARCH(" MAC "," "&amp;SUBSTITUTE($I13,","," ")&amp;" ")),ISNUMBER($L13)),$L13,"")</f>
        <v/>
      </c>
      <c r="AK13" s="16" t="str">
        <f aca="false">IF(AND(ISNUMBER(SEARCH(" UAH "," "&amp;SUBSTITUTE($I13,","," ")&amp;" ")),ISNUMBER($L13)),$L13,"")</f>
        <v/>
      </c>
      <c r="AL13" s="16" t="str">
        <f aca="false">IF(AND(ISNUMBER(SEARCH(" RB "," "&amp;SUBSTITUTE($I13,","," ")&amp;" ")),ISNUMBER($L13)),$L13,"")</f>
        <v/>
      </c>
    </row>
    <row r="14" customFormat="false" ht="55.5" hidden="false" customHeight="true" outlineLevel="0" collapsed="false">
      <c r="A14" s="4" t="s">
        <v>233</v>
      </c>
      <c r="B14" s="5" t="s">
        <v>176</v>
      </c>
      <c r="C14" s="5" t="s">
        <v>177</v>
      </c>
      <c r="D14" s="5" t="s">
        <v>234</v>
      </c>
      <c r="E14" s="5" t="s">
        <v>235</v>
      </c>
      <c r="F14" s="5" t="s">
        <v>236</v>
      </c>
      <c r="G14" s="5" t="s">
        <v>237</v>
      </c>
      <c r="H14" s="5" t="s">
        <v>238</v>
      </c>
      <c r="I14" s="13" t="s">
        <v>239</v>
      </c>
      <c r="J14" s="13" t="s">
        <v>46</v>
      </c>
      <c r="K14" s="9" t="n">
        <v>2</v>
      </c>
      <c r="L14" s="9"/>
      <c r="M14" s="13" t="str">
        <f aca="false">IF(ISNUMBER(L14),IF(L14&lt;K14,"Gap","OK"),IF(L14="N/A","N/A",""))</f>
        <v/>
      </c>
      <c r="N14" s="9"/>
      <c r="O14" s="9"/>
      <c r="P14" s="13" t="str">
        <f aca="false">IF(AND(M14="Gap",N14&lt;&gt;"",O14&lt;&gt;""),VLOOKUP(N14&amp;O14,Lists!$H$4:$I$12,2,FALSE()),"")</f>
        <v/>
      </c>
      <c r="Q14" s="13" t="str">
        <f aca="false">IF(AND(M14="Gap",O14="S",OR(N14="H",N14="M")),"Yes","")</f>
        <v/>
      </c>
      <c r="R14" s="9" t="s">
        <v>46</v>
      </c>
      <c r="S14" s="14" t="str">
        <f aca="false">IF(A14="","",IFERROR(IF(OR(VLOOKUP(A14,AutoEvidence!$A$2:$G$400,2,FALSE())="Collected",VLOOKUP(A14,AutoEvidence!$A$2:$G$400,2,FALSE())="Partial"),VLOOKUP(A14,AutoEvidence!$A$2:$G$400,3,FALSE())&amp;" ("&amp;VLOOKUP(A14,AutoEvidence!$A$2:$G$400,2,FALSE())&amp;")",VLOOKUP(A14,AutoEvidence!$A$2:$G$400,2,FALSE())),""))</f>
        <v/>
      </c>
      <c r="T14" s="7" t="str">
        <f aca="false">IF(A14="","",IFERROR(VLOOKUP(A14,AutoEvidence!$A$2:$G$400,4,FALSE())&amp;"",""))</f>
        <v/>
      </c>
      <c r="U14" s="6"/>
      <c r="V14" s="6"/>
      <c r="W14" s="9"/>
      <c r="X14" s="6"/>
      <c r="Y14" s="6"/>
      <c r="Z14" s="9"/>
      <c r="AA14" s="15"/>
      <c r="AB14" s="13" t="str">
        <f aca="false">IF(M14="Gap",1,IF(M14="OK",0,""))</f>
        <v/>
      </c>
      <c r="AC14" s="16" t="str">
        <f aca="false">IF(P14&lt;&gt;"",VALUE(RIGHT(P14,1))*1000+ROW(),"")</f>
        <v/>
      </c>
      <c r="AD14" s="16" t="str">
        <f aca="false">IF(ISNUMBER(L14),MIN(L14,K14),"")</f>
        <v/>
      </c>
      <c r="AE14" s="16" t="str">
        <f aca="false">IF(AND(ISNUMBER(SEARCH(" PA "," "&amp;SUBSTITUTE($I14,","," ")&amp;" ")),ISNUMBER($L14)),$L14,"")</f>
        <v/>
      </c>
      <c r="AF14" s="16" t="str">
        <f aca="false">IF(AND(ISNUMBER(SEARCH(" PO "," "&amp;SUBSTITUTE($I14,","," ")&amp;" ")),ISNUMBER($L14)),$L14,"")</f>
        <v/>
      </c>
      <c r="AG14" s="16" t="str">
        <f aca="false">IF(AND(ISNUMBER(SEARCH(" MFA "," "&amp;SUBSTITUTE($I14,","," ")&amp;" ")),ISNUMBER($L14)),$L14,"")</f>
        <v/>
      </c>
      <c r="AH14" s="16" t="str">
        <f aca="false">IF(AND(ISNUMBER(SEARCH(" RAP "," "&amp;SUBSTITUTE($I14,","," ")&amp;" ")),ISNUMBER($L14)),$L14,"")</f>
        <v/>
      </c>
      <c r="AI14" s="16" t="str">
        <f aca="false">IF(AND(ISNUMBER(SEARCH(" AC "," "&amp;SUBSTITUTE($I14,","," ")&amp;" ")),ISNUMBER($L14)),$L14,"")</f>
        <v/>
      </c>
      <c r="AJ14" s="16" t="str">
        <f aca="false">IF(AND(ISNUMBER(SEARCH(" MAC "," "&amp;SUBSTITUTE($I14,","," ")&amp;" ")),ISNUMBER($L14)),$L14,"")</f>
        <v/>
      </c>
      <c r="AK14" s="16" t="str">
        <f aca="false">IF(AND(ISNUMBER(SEARCH(" UAH "," "&amp;SUBSTITUTE($I14,","," ")&amp;" ")),ISNUMBER($L14)),$L14,"")</f>
        <v/>
      </c>
      <c r="AL14" s="16" t="str">
        <f aca="false">IF(AND(ISNUMBER(SEARCH(" RB "," "&amp;SUBSTITUTE($I14,","," ")&amp;" ")),ISNUMBER($L14)),$L14,"")</f>
        <v/>
      </c>
    </row>
    <row r="15" customFormat="false" ht="55.5" hidden="false" customHeight="true" outlineLevel="0" collapsed="false">
      <c r="A15" s="4" t="s">
        <v>240</v>
      </c>
      <c r="B15" s="5" t="s">
        <v>176</v>
      </c>
      <c r="C15" s="5" t="s">
        <v>177</v>
      </c>
      <c r="D15" s="5" t="s">
        <v>241</v>
      </c>
      <c r="E15" s="5" t="s">
        <v>242</v>
      </c>
      <c r="F15" s="5" t="s">
        <v>243</v>
      </c>
      <c r="G15" s="5" t="s">
        <v>244</v>
      </c>
      <c r="H15" s="5" t="s">
        <v>245</v>
      </c>
      <c r="I15" s="13" t="s">
        <v>208</v>
      </c>
      <c r="J15" s="13" t="s">
        <v>46</v>
      </c>
      <c r="K15" s="9" t="n">
        <v>2</v>
      </c>
      <c r="L15" s="9"/>
      <c r="M15" s="13" t="str">
        <f aca="false">IF(ISNUMBER(L15),IF(L15&lt;K15,"Gap","OK"),IF(L15="N/A","N/A",""))</f>
        <v/>
      </c>
      <c r="N15" s="9"/>
      <c r="O15" s="9"/>
      <c r="P15" s="13" t="str">
        <f aca="false">IF(AND(M15="Gap",N15&lt;&gt;"",O15&lt;&gt;""),VLOOKUP(N15&amp;O15,Lists!$H$4:$I$12,2,FALSE()),"")</f>
        <v/>
      </c>
      <c r="Q15" s="13" t="str">
        <f aca="false">IF(AND(M15="Gap",O15="S",OR(N15="H",N15="M")),"Yes","")</f>
        <v/>
      </c>
      <c r="R15" s="9" t="s">
        <v>46</v>
      </c>
      <c r="S15" s="14" t="str">
        <f aca="false">IF(A15="","",IFERROR(IF(OR(VLOOKUP(A15,AutoEvidence!$A$2:$G$400,2,FALSE())="Collected",VLOOKUP(A15,AutoEvidence!$A$2:$G$400,2,FALSE())="Partial"),VLOOKUP(A15,AutoEvidence!$A$2:$G$400,3,FALSE())&amp;" ("&amp;VLOOKUP(A15,AutoEvidence!$A$2:$G$400,2,FALSE())&amp;")",VLOOKUP(A15,AutoEvidence!$A$2:$G$400,2,FALSE())),""))</f>
        <v/>
      </c>
      <c r="T15" s="7" t="str">
        <f aca="false">IF(A15="","",IFERROR(VLOOKUP(A15,AutoEvidence!$A$2:$G$400,4,FALSE())&amp;"",""))</f>
        <v/>
      </c>
      <c r="U15" s="6"/>
      <c r="V15" s="6"/>
      <c r="W15" s="9"/>
      <c r="X15" s="6"/>
      <c r="Y15" s="6"/>
      <c r="Z15" s="9"/>
      <c r="AA15" s="15"/>
      <c r="AB15" s="13" t="str">
        <f aca="false">IF(M15="Gap",1,IF(M15="OK",0,""))</f>
        <v/>
      </c>
      <c r="AC15" s="16" t="str">
        <f aca="false">IF(P15&lt;&gt;"",VALUE(RIGHT(P15,1))*1000+ROW(),"")</f>
        <v/>
      </c>
      <c r="AD15" s="16" t="str">
        <f aca="false">IF(ISNUMBER(L15),MIN(L15,K15),"")</f>
        <v/>
      </c>
      <c r="AE15" s="16" t="str">
        <f aca="false">IF(AND(ISNUMBER(SEARCH(" PA "," "&amp;SUBSTITUTE($I15,","," ")&amp;" ")),ISNUMBER($L15)),$L15,"")</f>
        <v/>
      </c>
      <c r="AF15" s="16" t="str">
        <f aca="false">IF(AND(ISNUMBER(SEARCH(" PO "," "&amp;SUBSTITUTE($I15,","," ")&amp;" ")),ISNUMBER($L15)),$L15,"")</f>
        <v/>
      </c>
      <c r="AG15" s="16" t="str">
        <f aca="false">IF(AND(ISNUMBER(SEARCH(" MFA "," "&amp;SUBSTITUTE($I15,","," ")&amp;" ")),ISNUMBER($L15)),$L15,"")</f>
        <v/>
      </c>
      <c r="AH15" s="16" t="str">
        <f aca="false">IF(AND(ISNUMBER(SEARCH(" RAP "," "&amp;SUBSTITUTE($I15,","," ")&amp;" ")),ISNUMBER($L15)),$L15,"")</f>
        <v/>
      </c>
      <c r="AI15" s="16" t="str">
        <f aca="false">IF(AND(ISNUMBER(SEARCH(" AC "," "&amp;SUBSTITUTE($I15,","," ")&amp;" ")),ISNUMBER($L15)),$L15,"")</f>
        <v/>
      </c>
      <c r="AJ15" s="16" t="str">
        <f aca="false">IF(AND(ISNUMBER(SEARCH(" MAC "," "&amp;SUBSTITUTE($I15,","," ")&amp;" ")),ISNUMBER($L15)),$L15,"")</f>
        <v/>
      </c>
      <c r="AK15" s="16" t="str">
        <f aca="false">IF(AND(ISNUMBER(SEARCH(" UAH "," "&amp;SUBSTITUTE($I15,","," ")&amp;" ")),ISNUMBER($L15)),$L15,"")</f>
        <v/>
      </c>
      <c r="AL15" s="16" t="str">
        <f aca="false">IF(AND(ISNUMBER(SEARCH(" RB "," "&amp;SUBSTITUTE($I15,","," ")&amp;" ")),ISNUMBER($L15)),$L15,"")</f>
        <v/>
      </c>
    </row>
    <row r="16" customFormat="false" ht="69" hidden="false" customHeight="true" outlineLevel="0" collapsed="false">
      <c r="A16" s="4" t="s">
        <v>246</v>
      </c>
      <c r="B16" s="5" t="s">
        <v>176</v>
      </c>
      <c r="C16" s="5" t="s">
        <v>177</v>
      </c>
      <c r="D16" s="5" t="s">
        <v>247</v>
      </c>
      <c r="E16" s="5" t="s">
        <v>248</v>
      </c>
      <c r="F16" s="5" t="s">
        <v>249</v>
      </c>
      <c r="G16" s="5" t="s">
        <v>250</v>
      </c>
      <c r="H16" s="5" t="s">
        <v>251</v>
      </c>
      <c r="I16" s="13" t="s">
        <v>189</v>
      </c>
      <c r="J16" s="13" t="s">
        <v>50</v>
      </c>
      <c r="K16" s="9" t="n">
        <v>2</v>
      </c>
      <c r="L16" s="9"/>
      <c r="M16" s="13" t="str">
        <f aca="false">IF(ISNUMBER(L16),IF(L16&lt;K16,"Gap","OK"),IF(L16="N/A","N/A",""))</f>
        <v/>
      </c>
      <c r="N16" s="9"/>
      <c r="O16" s="9"/>
      <c r="P16" s="13" t="str">
        <f aca="false">IF(AND(M16="Gap",N16&lt;&gt;"",O16&lt;&gt;""),VLOOKUP(N16&amp;O16,Lists!$H$4:$I$12,2,FALSE()),"")</f>
        <v/>
      </c>
      <c r="Q16" s="13" t="str">
        <f aca="false">IF(AND(M16="Gap",O16="S",OR(N16="H",N16="M")),"Yes","")</f>
        <v/>
      </c>
      <c r="R16" s="9" t="s">
        <v>50</v>
      </c>
      <c r="S16" s="14" t="str">
        <f aca="false">IF(A16="","",IFERROR(IF(OR(VLOOKUP(A16,AutoEvidence!$A$2:$G$400,2,FALSE())="Collected",VLOOKUP(A16,AutoEvidence!$A$2:$G$400,2,FALSE())="Partial"),VLOOKUP(A16,AutoEvidence!$A$2:$G$400,3,FALSE())&amp;" ("&amp;VLOOKUP(A16,AutoEvidence!$A$2:$G$400,2,FALSE())&amp;")",VLOOKUP(A16,AutoEvidence!$A$2:$G$400,2,FALSE())),""))</f>
        <v/>
      </c>
      <c r="T16" s="7" t="str">
        <f aca="false">IF(A16="","",IFERROR(VLOOKUP(A16,AutoEvidence!$A$2:$G$400,4,FALSE())&amp;"",""))</f>
        <v/>
      </c>
      <c r="U16" s="6"/>
      <c r="V16" s="6"/>
      <c r="W16" s="9"/>
      <c r="X16" s="6"/>
      <c r="Y16" s="6"/>
      <c r="Z16" s="9"/>
      <c r="AA16" s="15"/>
      <c r="AB16" s="13" t="str">
        <f aca="false">IF(M16="Gap",1,IF(M16="OK",0,""))</f>
        <v/>
      </c>
      <c r="AC16" s="16" t="str">
        <f aca="false">IF(P16&lt;&gt;"",VALUE(RIGHT(P16,1))*1000+ROW(),"")</f>
        <v/>
      </c>
      <c r="AD16" s="16" t="str">
        <f aca="false">IF(ISNUMBER(L16),MIN(L16,K16),"")</f>
        <v/>
      </c>
      <c r="AE16" s="16" t="str">
        <f aca="false">IF(AND(ISNUMBER(SEARCH(" PA "," "&amp;SUBSTITUTE($I16,","," ")&amp;" ")),ISNUMBER($L16)),$L16,"")</f>
        <v/>
      </c>
      <c r="AF16" s="16" t="str">
        <f aca="false">IF(AND(ISNUMBER(SEARCH(" PO "," "&amp;SUBSTITUTE($I16,","," ")&amp;" ")),ISNUMBER($L16)),$L16,"")</f>
        <v/>
      </c>
      <c r="AG16" s="16" t="str">
        <f aca="false">IF(AND(ISNUMBER(SEARCH(" MFA "," "&amp;SUBSTITUTE($I16,","," ")&amp;" ")),ISNUMBER($L16)),$L16,"")</f>
        <v/>
      </c>
      <c r="AH16" s="16" t="str">
        <f aca="false">IF(AND(ISNUMBER(SEARCH(" RAP "," "&amp;SUBSTITUTE($I16,","," ")&amp;" ")),ISNUMBER($L16)),$L16,"")</f>
        <v/>
      </c>
      <c r="AI16" s="16" t="str">
        <f aca="false">IF(AND(ISNUMBER(SEARCH(" AC "," "&amp;SUBSTITUTE($I16,","," ")&amp;" ")),ISNUMBER($L16)),$L16,"")</f>
        <v/>
      </c>
      <c r="AJ16" s="16" t="str">
        <f aca="false">IF(AND(ISNUMBER(SEARCH(" MAC "," "&amp;SUBSTITUTE($I16,","," ")&amp;" ")),ISNUMBER($L16)),$L16,"")</f>
        <v/>
      </c>
      <c r="AK16" s="16" t="str">
        <f aca="false">IF(AND(ISNUMBER(SEARCH(" UAH "," "&amp;SUBSTITUTE($I16,","," ")&amp;" ")),ISNUMBER($L16)),$L16,"")</f>
        <v/>
      </c>
      <c r="AL16" s="16" t="str">
        <f aca="false">IF(AND(ISNUMBER(SEARCH(" RB "," "&amp;SUBSTITUTE($I16,","," ")&amp;" ")),ISNUMBER($L16)),$L16,"")</f>
        <v/>
      </c>
    </row>
    <row r="17" customFormat="false" ht="69" hidden="false" customHeight="true" outlineLevel="0" collapsed="false">
      <c r="A17" s="4" t="s">
        <v>252</v>
      </c>
      <c r="B17" s="5" t="s">
        <v>176</v>
      </c>
      <c r="C17" s="5" t="s">
        <v>177</v>
      </c>
      <c r="D17" s="5" t="s">
        <v>253</v>
      </c>
      <c r="E17" s="5" t="s">
        <v>254</v>
      </c>
      <c r="F17" s="5" t="s">
        <v>255</v>
      </c>
      <c r="G17" s="5" t="s">
        <v>256</v>
      </c>
      <c r="H17" s="5" t="s">
        <v>257</v>
      </c>
      <c r="I17" s="13" t="s">
        <v>189</v>
      </c>
      <c r="J17" s="13" t="s">
        <v>50</v>
      </c>
      <c r="K17" s="9" t="n">
        <v>2</v>
      </c>
      <c r="L17" s="9"/>
      <c r="M17" s="13" t="str">
        <f aca="false">IF(ISNUMBER(L17),IF(L17&lt;K17,"Gap","OK"),IF(L17="N/A","N/A",""))</f>
        <v/>
      </c>
      <c r="N17" s="9"/>
      <c r="O17" s="9"/>
      <c r="P17" s="13" t="str">
        <f aca="false">IF(AND(M17="Gap",N17&lt;&gt;"",O17&lt;&gt;""),VLOOKUP(N17&amp;O17,Lists!$H$4:$I$12,2,FALSE()),"")</f>
        <v/>
      </c>
      <c r="Q17" s="13" t="str">
        <f aca="false">IF(AND(M17="Gap",O17="S",OR(N17="H",N17="M")),"Yes","")</f>
        <v/>
      </c>
      <c r="R17" s="9" t="s">
        <v>50</v>
      </c>
      <c r="S17" s="14" t="str">
        <f aca="false">IF(A17="","",IFERROR(IF(OR(VLOOKUP(A17,AutoEvidence!$A$2:$G$400,2,FALSE())="Collected",VLOOKUP(A17,AutoEvidence!$A$2:$G$400,2,FALSE())="Partial"),VLOOKUP(A17,AutoEvidence!$A$2:$G$400,3,FALSE())&amp;" ("&amp;VLOOKUP(A17,AutoEvidence!$A$2:$G$400,2,FALSE())&amp;")",VLOOKUP(A17,AutoEvidence!$A$2:$G$400,2,FALSE())),""))</f>
        <v/>
      </c>
      <c r="T17" s="7" t="str">
        <f aca="false">IF(A17="","",IFERROR(VLOOKUP(A17,AutoEvidence!$A$2:$G$400,4,FALSE())&amp;"",""))</f>
        <v/>
      </c>
      <c r="U17" s="6"/>
      <c r="V17" s="6"/>
      <c r="W17" s="9"/>
      <c r="X17" s="6"/>
      <c r="Y17" s="6"/>
      <c r="Z17" s="9"/>
      <c r="AA17" s="15"/>
      <c r="AB17" s="13" t="str">
        <f aca="false">IF(M17="Gap",1,IF(M17="OK",0,""))</f>
        <v/>
      </c>
      <c r="AC17" s="16" t="str">
        <f aca="false">IF(P17&lt;&gt;"",VALUE(RIGHT(P17,1))*1000+ROW(),"")</f>
        <v/>
      </c>
      <c r="AD17" s="16" t="str">
        <f aca="false">IF(ISNUMBER(L17),MIN(L17,K17),"")</f>
        <v/>
      </c>
      <c r="AE17" s="16" t="str">
        <f aca="false">IF(AND(ISNUMBER(SEARCH(" PA "," "&amp;SUBSTITUTE($I17,","," ")&amp;" ")),ISNUMBER($L17)),$L17,"")</f>
        <v/>
      </c>
      <c r="AF17" s="16" t="str">
        <f aca="false">IF(AND(ISNUMBER(SEARCH(" PO "," "&amp;SUBSTITUTE($I17,","," ")&amp;" ")),ISNUMBER($L17)),$L17,"")</f>
        <v/>
      </c>
      <c r="AG17" s="16" t="str">
        <f aca="false">IF(AND(ISNUMBER(SEARCH(" MFA "," "&amp;SUBSTITUTE($I17,","," ")&amp;" ")),ISNUMBER($L17)),$L17,"")</f>
        <v/>
      </c>
      <c r="AH17" s="16" t="str">
        <f aca="false">IF(AND(ISNUMBER(SEARCH(" RAP "," "&amp;SUBSTITUTE($I17,","," ")&amp;" ")),ISNUMBER($L17)),$L17,"")</f>
        <v/>
      </c>
      <c r="AI17" s="16" t="str">
        <f aca="false">IF(AND(ISNUMBER(SEARCH(" AC "," "&amp;SUBSTITUTE($I17,","," ")&amp;" ")),ISNUMBER($L17)),$L17,"")</f>
        <v/>
      </c>
      <c r="AJ17" s="16" t="str">
        <f aca="false">IF(AND(ISNUMBER(SEARCH(" MAC "," "&amp;SUBSTITUTE($I17,","," ")&amp;" ")),ISNUMBER($L17)),$L17,"")</f>
        <v/>
      </c>
      <c r="AK17" s="16" t="str">
        <f aca="false">IF(AND(ISNUMBER(SEARCH(" UAH "," "&amp;SUBSTITUTE($I17,","," ")&amp;" ")),ISNUMBER($L17)),$L17,"")</f>
        <v/>
      </c>
      <c r="AL17" s="16" t="str">
        <f aca="false">IF(AND(ISNUMBER(SEARCH(" RB "," "&amp;SUBSTITUTE($I17,","," ")&amp;" ")),ISNUMBER($L17)),$L17,"")</f>
        <v/>
      </c>
    </row>
    <row r="18" customFormat="false" ht="55.5" hidden="false" customHeight="true" outlineLevel="0" collapsed="false">
      <c r="A18" s="4" t="s">
        <v>258</v>
      </c>
      <c r="B18" s="5" t="s">
        <v>176</v>
      </c>
      <c r="C18" s="5" t="s">
        <v>177</v>
      </c>
      <c r="D18" s="5" t="s">
        <v>259</v>
      </c>
      <c r="E18" s="5" t="s">
        <v>260</v>
      </c>
      <c r="F18" s="5" t="s">
        <v>261</v>
      </c>
      <c r="G18" s="5" t="s">
        <v>262</v>
      </c>
      <c r="H18" s="5" t="s">
        <v>263</v>
      </c>
      <c r="I18" s="13"/>
      <c r="J18" s="13" t="s">
        <v>50</v>
      </c>
      <c r="K18" s="9" t="n">
        <v>2</v>
      </c>
      <c r="L18" s="9"/>
      <c r="M18" s="13" t="str">
        <f aca="false">IF(ISNUMBER(L18),IF(L18&lt;K18,"Gap","OK"),IF(L18="N/A","N/A",""))</f>
        <v/>
      </c>
      <c r="N18" s="9"/>
      <c r="O18" s="9"/>
      <c r="P18" s="13" t="str">
        <f aca="false">IF(AND(M18="Gap",N18&lt;&gt;"",O18&lt;&gt;""),VLOOKUP(N18&amp;O18,Lists!$H$4:$I$12,2,FALSE()),"")</f>
        <v/>
      </c>
      <c r="Q18" s="13" t="str">
        <f aca="false">IF(AND(M18="Gap",O18="S",OR(N18="H",N18="M")),"Yes","")</f>
        <v/>
      </c>
      <c r="R18" s="9" t="s">
        <v>50</v>
      </c>
      <c r="S18" s="14" t="str">
        <f aca="false">IF(A18="","",IFERROR(IF(OR(VLOOKUP(A18,AutoEvidence!$A$2:$G$400,2,FALSE())="Collected",VLOOKUP(A18,AutoEvidence!$A$2:$G$400,2,FALSE())="Partial"),VLOOKUP(A18,AutoEvidence!$A$2:$G$400,3,FALSE())&amp;" ("&amp;VLOOKUP(A18,AutoEvidence!$A$2:$G$400,2,FALSE())&amp;")",VLOOKUP(A18,AutoEvidence!$A$2:$G$400,2,FALSE())),""))</f>
        <v/>
      </c>
      <c r="T18" s="7" t="str">
        <f aca="false">IF(A18="","",IFERROR(VLOOKUP(A18,AutoEvidence!$A$2:$G$400,4,FALSE())&amp;"",""))</f>
        <v/>
      </c>
      <c r="U18" s="6"/>
      <c r="V18" s="6"/>
      <c r="W18" s="9"/>
      <c r="X18" s="6"/>
      <c r="Y18" s="6"/>
      <c r="Z18" s="9"/>
      <c r="AA18" s="15"/>
      <c r="AB18" s="13" t="str">
        <f aca="false">IF(M18="Gap",1,IF(M18="OK",0,""))</f>
        <v/>
      </c>
      <c r="AC18" s="16" t="str">
        <f aca="false">IF(P18&lt;&gt;"",VALUE(RIGHT(P18,1))*1000+ROW(),"")</f>
        <v/>
      </c>
      <c r="AD18" s="16" t="str">
        <f aca="false">IF(ISNUMBER(L18),MIN(L18,K18),"")</f>
        <v/>
      </c>
      <c r="AE18" s="16" t="str">
        <f aca="false">IF(AND(ISNUMBER(SEARCH(" PA "," "&amp;SUBSTITUTE($I18,","," ")&amp;" ")),ISNUMBER($L18)),$L18,"")</f>
        <v/>
      </c>
      <c r="AF18" s="16" t="str">
        <f aca="false">IF(AND(ISNUMBER(SEARCH(" PO "," "&amp;SUBSTITUTE($I18,","," ")&amp;" ")),ISNUMBER($L18)),$L18,"")</f>
        <v/>
      </c>
      <c r="AG18" s="16" t="str">
        <f aca="false">IF(AND(ISNUMBER(SEARCH(" MFA "," "&amp;SUBSTITUTE($I18,","," ")&amp;" ")),ISNUMBER($L18)),$L18,"")</f>
        <v/>
      </c>
      <c r="AH18" s="16" t="str">
        <f aca="false">IF(AND(ISNUMBER(SEARCH(" RAP "," "&amp;SUBSTITUTE($I18,","," ")&amp;" ")),ISNUMBER($L18)),$L18,"")</f>
        <v/>
      </c>
      <c r="AI18" s="16" t="str">
        <f aca="false">IF(AND(ISNUMBER(SEARCH(" AC "," "&amp;SUBSTITUTE($I18,","," ")&amp;" ")),ISNUMBER($L18)),$L18,"")</f>
        <v/>
      </c>
      <c r="AJ18" s="16" t="str">
        <f aca="false">IF(AND(ISNUMBER(SEARCH(" MAC "," "&amp;SUBSTITUTE($I18,","," ")&amp;" ")),ISNUMBER($L18)),$L18,"")</f>
        <v/>
      </c>
      <c r="AK18" s="16" t="str">
        <f aca="false">IF(AND(ISNUMBER(SEARCH(" UAH "," "&amp;SUBSTITUTE($I18,","," ")&amp;" ")),ISNUMBER($L18)),$L18,"")</f>
        <v/>
      </c>
      <c r="AL18" s="16" t="str">
        <f aca="false">IF(AND(ISNUMBER(SEARCH(" RB "," "&amp;SUBSTITUTE($I18,","," ")&amp;" ")),ISNUMBER($L18)),$L18,"")</f>
        <v/>
      </c>
    </row>
    <row r="19" customFormat="false" ht="55.5" hidden="false" customHeight="true" outlineLevel="0" collapsed="false">
      <c r="A19" s="17" t="s">
        <v>264</v>
      </c>
      <c r="B19" s="18" t="s">
        <v>265</v>
      </c>
      <c r="C19" s="18" t="s">
        <v>266</v>
      </c>
      <c r="D19" s="5" t="s">
        <v>267</v>
      </c>
      <c r="E19" s="5" t="s">
        <v>268</v>
      </c>
      <c r="F19" s="5" t="s">
        <v>269</v>
      </c>
      <c r="G19" s="5" t="s">
        <v>270</v>
      </c>
      <c r="H19" s="5" t="s">
        <v>271</v>
      </c>
      <c r="I19" s="13"/>
      <c r="J19" s="13" t="s">
        <v>46</v>
      </c>
      <c r="K19" s="9" t="n">
        <v>2</v>
      </c>
      <c r="L19" s="9"/>
      <c r="M19" s="13" t="str">
        <f aca="false">IF(ISNUMBER(L19),IF(L19&lt;K19,"Gap","OK"),IF(L19="N/A","N/A",""))</f>
        <v/>
      </c>
      <c r="N19" s="9"/>
      <c r="O19" s="9"/>
      <c r="P19" s="13" t="str">
        <f aca="false">IF(AND(M19="Gap",N19&lt;&gt;"",O19&lt;&gt;""),VLOOKUP(N19&amp;O19,Lists!$H$4:$I$12,2,FALSE()),"")</f>
        <v/>
      </c>
      <c r="Q19" s="13" t="str">
        <f aca="false">IF(AND(M19="Gap",O19="S",OR(N19="H",N19="M")),"Yes","")</f>
        <v/>
      </c>
      <c r="R19" s="9" t="s">
        <v>46</v>
      </c>
      <c r="S19" s="14" t="str">
        <f aca="false">IF(A19="","",IFERROR(IF(OR(VLOOKUP(A19,AutoEvidence!$A$2:$G$400,2,FALSE())="Collected",VLOOKUP(A19,AutoEvidence!$A$2:$G$400,2,FALSE())="Partial"),VLOOKUP(A19,AutoEvidence!$A$2:$G$400,3,FALSE())&amp;" ("&amp;VLOOKUP(A19,AutoEvidence!$A$2:$G$400,2,FALSE())&amp;")",VLOOKUP(A19,AutoEvidence!$A$2:$G$400,2,FALSE())),""))</f>
        <v/>
      </c>
      <c r="T19" s="7" t="str">
        <f aca="false">IF(A19="","",IFERROR(VLOOKUP(A19,AutoEvidence!$A$2:$G$400,4,FALSE())&amp;"",""))</f>
        <v/>
      </c>
      <c r="U19" s="6"/>
      <c r="V19" s="6"/>
      <c r="W19" s="9"/>
      <c r="X19" s="6"/>
      <c r="Y19" s="6"/>
      <c r="Z19" s="9"/>
      <c r="AA19" s="15"/>
      <c r="AB19" s="13" t="str">
        <f aca="false">IF(M19="Gap",1,IF(M19="OK",0,""))</f>
        <v/>
      </c>
      <c r="AC19" s="16" t="str">
        <f aca="false">IF(P19&lt;&gt;"",VALUE(RIGHT(P19,1))*1000+ROW(),"")</f>
        <v/>
      </c>
      <c r="AD19" s="16" t="str">
        <f aca="false">IF(ISNUMBER(L19),MIN(L19,K19),"")</f>
        <v/>
      </c>
      <c r="AE19" s="16" t="str">
        <f aca="false">IF(AND(ISNUMBER(SEARCH(" PA "," "&amp;SUBSTITUTE($I19,","," ")&amp;" ")),ISNUMBER($L19)),$L19,"")</f>
        <v/>
      </c>
      <c r="AF19" s="16" t="str">
        <f aca="false">IF(AND(ISNUMBER(SEARCH(" PO "," "&amp;SUBSTITUTE($I19,","," ")&amp;" ")),ISNUMBER($L19)),$L19,"")</f>
        <v/>
      </c>
      <c r="AG19" s="16" t="str">
        <f aca="false">IF(AND(ISNUMBER(SEARCH(" MFA "," "&amp;SUBSTITUTE($I19,","," ")&amp;" ")),ISNUMBER($L19)),$L19,"")</f>
        <v/>
      </c>
      <c r="AH19" s="16" t="str">
        <f aca="false">IF(AND(ISNUMBER(SEARCH(" RAP "," "&amp;SUBSTITUTE($I19,","," ")&amp;" ")),ISNUMBER($L19)),$L19,"")</f>
        <v/>
      </c>
      <c r="AI19" s="16" t="str">
        <f aca="false">IF(AND(ISNUMBER(SEARCH(" AC "," "&amp;SUBSTITUTE($I19,","," ")&amp;" ")),ISNUMBER($L19)),$L19,"")</f>
        <v/>
      </c>
      <c r="AJ19" s="16" t="str">
        <f aca="false">IF(AND(ISNUMBER(SEARCH(" MAC "," "&amp;SUBSTITUTE($I19,","," ")&amp;" ")),ISNUMBER($L19)),$L19,"")</f>
        <v/>
      </c>
      <c r="AK19" s="16" t="str">
        <f aca="false">IF(AND(ISNUMBER(SEARCH(" UAH "," "&amp;SUBSTITUTE($I19,","," ")&amp;" ")),ISNUMBER($L19)),$L19,"")</f>
        <v/>
      </c>
      <c r="AL19" s="16" t="str">
        <f aca="false">IF(AND(ISNUMBER(SEARCH(" RB "," "&amp;SUBSTITUTE($I19,","," ")&amp;" ")),ISNUMBER($L19)),$L19,"")</f>
        <v/>
      </c>
    </row>
    <row r="20" customFormat="false" ht="69" hidden="false" customHeight="true" outlineLevel="0" collapsed="false">
      <c r="A20" s="17" t="s">
        <v>272</v>
      </c>
      <c r="B20" s="18" t="s">
        <v>265</v>
      </c>
      <c r="C20" s="18" t="s">
        <v>266</v>
      </c>
      <c r="D20" s="5" t="s">
        <v>273</v>
      </c>
      <c r="E20" s="5" t="s">
        <v>274</v>
      </c>
      <c r="F20" s="5" t="s">
        <v>275</v>
      </c>
      <c r="G20" s="5" t="s">
        <v>276</v>
      </c>
      <c r="H20" s="5" t="s">
        <v>277</v>
      </c>
      <c r="I20" s="13"/>
      <c r="J20" s="13" t="s">
        <v>50</v>
      </c>
      <c r="K20" s="9" t="n">
        <v>2</v>
      </c>
      <c r="L20" s="9"/>
      <c r="M20" s="13" t="str">
        <f aca="false">IF(ISNUMBER(L20),IF(L20&lt;K20,"Gap","OK"),IF(L20="N/A","N/A",""))</f>
        <v/>
      </c>
      <c r="N20" s="9"/>
      <c r="O20" s="9"/>
      <c r="P20" s="13" t="str">
        <f aca="false">IF(AND(M20="Gap",N20&lt;&gt;"",O20&lt;&gt;""),VLOOKUP(N20&amp;O20,Lists!$H$4:$I$12,2,FALSE()),"")</f>
        <v/>
      </c>
      <c r="Q20" s="13" t="str">
        <f aca="false">IF(AND(M20="Gap",O20="S",OR(N20="H",N20="M")),"Yes","")</f>
        <v/>
      </c>
      <c r="R20" s="9" t="s">
        <v>50</v>
      </c>
      <c r="S20" s="14" t="str">
        <f aca="false">IF(A20="","",IFERROR(IF(OR(VLOOKUP(A20,AutoEvidence!$A$2:$G$400,2,FALSE())="Collected",VLOOKUP(A20,AutoEvidence!$A$2:$G$400,2,FALSE())="Partial"),VLOOKUP(A20,AutoEvidence!$A$2:$G$400,3,FALSE())&amp;" ("&amp;VLOOKUP(A20,AutoEvidence!$A$2:$G$400,2,FALSE())&amp;")",VLOOKUP(A20,AutoEvidence!$A$2:$G$400,2,FALSE())),""))</f>
        <v/>
      </c>
      <c r="T20" s="7" t="str">
        <f aca="false">IF(A20="","",IFERROR(VLOOKUP(A20,AutoEvidence!$A$2:$G$400,4,FALSE())&amp;"",""))</f>
        <v/>
      </c>
      <c r="U20" s="6"/>
      <c r="V20" s="6"/>
      <c r="W20" s="9"/>
      <c r="X20" s="6"/>
      <c r="Y20" s="6"/>
      <c r="Z20" s="9"/>
      <c r="AA20" s="15"/>
      <c r="AB20" s="13" t="str">
        <f aca="false">IF(M20="Gap",1,IF(M20="OK",0,""))</f>
        <v/>
      </c>
      <c r="AC20" s="16" t="str">
        <f aca="false">IF(P20&lt;&gt;"",VALUE(RIGHT(P20,1))*1000+ROW(),"")</f>
        <v/>
      </c>
      <c r="AD20" s="16" t="str">
        <f aca="false">IF(ISNUMBER(L20),MIN(L20,K20),"")</f>
        <v/>
      </c>
      <c r="AE20" s="16" t="str">
        <f aca="false">IF(AND(ISNUMBER(SEARCH(" PA "," "&amp;SUBSTITUTE($I20,","," ")&amp;" ")),ISNUMBER($L20)),$L20,"")</f>
        <v/>
      </c>
      <c r="AF20" s="16" t="str">
        <f aca="false">IF(AND(ISNUMBER(SEARCH(" PO "," "&amp;SUBSTITUTE($I20,","," ")&amp;" ")),ISNUMBER($L20)),$L20,"")</f>
        <v/>
      </c>
      <c r="AG20" s="16" t="str">
        <f aca="false">IF(AND(ISNUMBER(SEARCH(" MFA "," "&amp;SUBSTITUTE($I20,","," ")&amp;" ")),ISNUMBER($L20)),$L20,"")</f>
        <v/>
      </c>
      <c r="AH20" s="16" t="str">
        <f aca="false">IF(AND(ISNUMBER(SEARCH(" RAP "," "&amp;SUBSTITUTE($I20,","," ")&amp;" ")),ISNUMBER($L20)),$L20,"")</f>
        <v/>
      </c>
      <c r="AI20" s="16" t="str">
        <f aca="false">IF(AND(ISNUMBER(SEARCH(" AC "," "&amp;SUBSTITUTE($I20,","," ")&amp;" ")),ISNUMBER($L20)),$L20,"")</f>
        <v/>
      </c>
      <c r="AJ20" s="16" t="str">
        <f aca="false">IF(AND(ISNUMBER(SEARCH(" MAC "," "&amp;SUBSTITUTE($I20,","," ")&amp;" ")),ISNUMBER($L20)),$L20,"")</f>
        <v/>
      </c>
      <c r="AK20" s="16" t="str">
        <f aca="false">IF(AND(ISNUMBER(SEARCH(" UAH "," "&amp;SUBSTITUTE($I20,","," ")&amp;" ")),ISNUMBER($L20)),$L20,"")</f>
        <v/>
      </c>
      <c r="AL20" s="16" t="str">
        <f aca="false">IF(AND(ISNUMBER(SEARCH(" RB "," "&amp;SUBSTITUTE($I20,","," ")&amp;" ")),ISNUMBER($L20)),$L20,"")</f>
        <v/>
      </c>
    </row>
    <row r="21" customFormat="false" ht="69" hidden="false" customHeight="true" outlineLevel="0" collapsed="false">
      <c r="A21" s="17" t="s">
        <v>278</v>
      </c>
      <c r="B21" s="18" t="s">
        <v>265</v>
      </c>
      <c r="C21" s="18" t="s">
        <v>266</v>
      </c>
      <c r="D21" s="5" t="s">
        <v>279</v>
      </c>
      <c r="E21" s="5" t="s">
        <v>280</v>
      </c>
      <c r="F21" s="5" t="s">
        <v>281</v>
      </c>
      <c r="G21" s="5" t="s">
        <v>282</v>
      </c>
      <c r="H21" s="5" t="s">
        <v>283</v>
      </c>
      <c r="I21" s="13"/>
      <c r="J21" s="13" t="s">
        <v>46</v>
      </c>
      <c r="K21" s="9" t="n">
        <v>2</v>
      </c>
      <c r="L21" s="9"/>
      <c r="M21" s="13" t="str">
        <f aca="false">IF(ISNUMBER(L21),IF(L21&lt;K21,"Gap","OK"),IF(L21="N/A","N/A",""))</f>
        <v/>
      </c>
      <c r="N21" s="9"/>
      <c r="O21" s="9"/>
      <c r="P21" s="13" t="str">
        <f aca="false">IF(AND(M21="Gap",N21&lt;&gt;"",O21&lt;&gt;""),VLOOKUP(N21&amp;O21,Lists!$H$4:$I$12,2,FALSE()),"")</f>
        <v/>
      </c>
      <c r="Q21" s="13" t="str">
        <f aca="false">IF(AND(M21="Gap",O21="S",OR(N21="H",N21="M")),"Yes","")</f>
        <v/>
      </c>
      <c r="R21" s="9" t="s">
        <v>46</v>
      </c>
      <c r="S21" s="14" t="str">
        <f aca="false">IF(A21="","",IFERROR(IF(OR(VLOOKUP(A21,AutoEvidence!$A$2:$G$400,2,FALSE())="Collected",VLOOKUP(A21,AutoEvidence!$A$2:$G$400,2,FALSE())="Partial"),VLOOKUP(A21,AutoEvidence!$A$2:$G$400,3,FALSE())&amp;" ("&amp;VLOOKUP(A21,AutoEvidence!$A$2:$G$400,2,FALSE())&amp;")",VLOOKUP(A21,AutoEvidence!$A$2:$G$400,2,FALSE())),""))</f>
        <v/>
      </c>
      <c r="T21" s="7" t="str">
        <f aca="false">IF(A21="","",IFERROR(VLOOKUP(A21,AutoEvidence!$A$2:$G$400,4,FALSE())&amp;"",""))</f>
        <v/>
      </c>
      <c r="U21" s="6"/>
      <c r="V21" s="6"/>
      <c r="W21" s="9"/>
      <c r="X21" s="6"/>
      <c r="Y21" s="6"/>
      <c r="Z21" s="9"/>
      <c r="AA21" s="15"/>
      <c r="AB21" s="13" t="str">
        <f aca="false">IF(M21="Gap",1,IF(M21="OK",0,""))</f>
        <v/>
      </c>
      <c r="AC21" s="16" t="str">
        <f aca="false">IF(P21&lt;&gt;"",VALUE(RIGHT(P21,1))*1000+ROW(),"")</f>
        <v/>
      </c>
      <c r="AD21" s="16" t="str">
        <f aca="false">IF(ISNUMBER(L21),MIN(L21,K21),"")</f>
        <v/>
      </c>
      <c r="AE21" s="16" t="str">
        <f aca="false">IF(AND(ISNUMBER(SEARCH(" PA "," "&amp;SUBSTITUTE($I21,","," ")&amp;" ")),ISNUMBER($L21)),$L21,"")</f>
        <v/>
      </c>
      <c r="AF21" s="16" t="str">
        <f aca="false">IF(AND(ISNUMBER(SEARCH(" PO "," "&amp;SUBSTITUTE($I21,","," ")&amp;" ")),ISNUMBER($L21)),$L21,"")</f>
        <v/>
      </c>
      <c r="AG21" s="16" t="str">
        <f aca="false">IF(AND(ISNUMBER(SEARCH(" MFA "," "&amp;SUBSTITUTE($I21,","," ")&amp;" ")),ISNUMBER($L21)),$L21,"")</f>
        <v/>
      </c>
      <c r="AH21" s="16" t="str">
        <f aca="false">IF(AND(ISNUMBER(SEARCH(" RAP "," "&amp;SUBSTITUTE($I21,","," ")&amp;" ")),ISNUMBER($L21)),$L21,"")</f>
        <v/>
      </c>
      <c r="AI21" s="16" t="str">
        <f aca="false">IF(AND(ISNUMBER(SEARCH(" AC "," "&amp;SUBSTITUTE($I21,","," ")&amp;" ")),ISNUMBER($L21)),$L21,"")</f>
        <v/>
      </c>
      <c r="AJ21" s="16" t="str">
        <f aca="false">IF(AND(ISNUMBER(SEARCH(" MAC "," "&amp;SUBSTITUTE($I21,","," ")&amp;" ")),ISNUMBER($L21)),$L21,"")</f>
        <v/>
      </c>
      <c r="AK21" s="16" t="str">
        <f aca="false">IF(AND(ISNUMBER(SEARCH(" UAH "," "&amp;SUBSTITUTE($I21,","," ")&amp;" ")),ISNUMBER($L21)),$L21,"")</f>
        <v/>
      </c>
      <c r="AL21" s="16" t="str">
        <f aca="false">IF(AND(ISNUMBER(SEARCH(" RB "," "&amp;SUBSTITUTE($I21,","," ")&amp;" ")),ISNUMBER($L21)),$L21,"")</f>
        <v/>
      </c>
    </row>
    <row r="22" customFormat="false" ht="69" hidden="false" customHeight="true" outlineLevel="0" collapsed="false">
      <c r="A22" s="17" t="s">
        <v>284</v>
      </c>
      <c r="B22" s="18" t="s">
        <v>265</v>
      </c>
      <c r="C22" s="18" t="s">
        <v>266</v>
      </c>
      <c r="D22" s="5" t="s">
        <v>285</v>
      </c>
      <c r="E22" s="5" t="s">
        <v>286</v>
      </c>
      <c r="F22" s="5" t="s">
        <v>287</v>
      </c>
      <c r="G22" s="5" t="s">
        <v>288</v>
      </c>
      <c r="H22" s="5" t="s">
        <v>289</v>
      </c>
      <c r="I22" s="13"/>
      <c r="J22" s="13" t="s">
        <v>46</v>
      </c>
      <c r="K22" s="9" t="n">
        <v>2</v>
      </c>
      <c r="L22" s="9"/>
      <c r="M22" s="13" t="str">
        <f aca="false">IF(ISNUMBER(L22),IF(L22&lt;K22,"Gap","OK"),IF(L22="N/A","N/A",""))</f>
        <v/>
      </c>
      <c r="N22" s="9"/>
      <c r="O22" s="9"/>
      <c r="P22" s="13" t="str">
        <f aca="false">IF(AND(M22="Gap",N22&lt;&gt;"",O22&lt;&gt;""),VLOOKUP(N22&amp;O22,Lists!$H$4:$I$12,2,FALSE()),"")</f>
        <v/>
      </c>
      <c r="Q22" s="13" t="str">
        <f aca="false">IF(AND(M22="Gap",O22="S",OR(N22="H",N22="M")),"Yes","")</f>
        <v/>
      </c>
      <c r="R22" s="9" t="s">
        <v>46</v>
      </c>
      <c r="S22" s="14" t="str">
        <f aca="false">IF(A22="","",IFERROR(IF(OR(VLOOKUP(A22,AutoEvidence!$A$2:$G$400,2,FALSE())="Collected",VLOOKUP(A22,AutoEvidence!$A$2:$G$400,2,FALSE())="Partial"),VLOOKUP(A22,AutoEvidence!$A$2:$G$400,3,FALSE())&amp;" ("&amp;VLOOKUP(A22,AutoEvidence!$A$2:$G$400,2,FALSE())&amp;")",VLOOKUP(A22,AutoEvidence!$A$2:$G$400,2,FALSE())),""))</f>
        <v/>
      </c>
      <c r="T22" s="7" t="str">
        <f aca="false">IF(A22="","",IFERROR(VLOOKUP(A22,AutoEvidence!$A$2:$G$400,4,FALSE())&amp;"",""))</f>
        <v/>
      </c>
      <c r="U22" s="6"/>
      <c r="V22" s="6"/>
      <c r="W22" s="9"/>
      <c r="X22" s="6"/>
      <c r="Y22" s="6"/>
      <c r="Z22" s="9"/>
      <c r="AA22" s="15"/>
      <c r="AB22" s="13" t="str">
        <f aca="false">IF(M22="Gap",1,IF(M22="OK",0,""))</f>
        <v/>
      </c>
      <c r="AC22" s="16" t="str">
        <f aca="false">IF(P22&lt;&gt;"",VALUE(RIGHT(P22,1))*1000+ROW(),"")</f>
        <v/>
      </c>
      <c r="AD22" s="16" t="str">
        <f aca="false">IF(ISNUMBER(L22),MIN(L22,K22),"")</f>
        <v/>
      </c>
      <c r="AE22" s="16" t="str">
        <f aca="false">IF(AND(ISNUMBER(SEARCH(" PA "," "&amp;SUBSTITUTE($I22,","," ")&amp;" ")),ISNUMBER($L22)),$L22,"")</f>
        <v/>
      </c>
      <c r="AF22" s="16" t="str">
        <f aca="false">IF(AND(ISNUMBER(SEARCH(" PO "," "&amp;SUBSTITUTE($I22,","," ")&amp;" ")),ISNUMBER($L22)),$L22,"")</f>
        <v/>
      </c>
      <c r="AG22" s="16" t="str">
        <f aca="false">IF(AND(ISNUMBER(SEARCH(" MFA "," "&amp;SUBSTITUTE($I22,","," ")&amp;" ")),ISNUMBER($L22)),$L22,"")</f>
        <v/>
      </c>
      <c r="AH22" s="16" t="str">
        <f aca="false">IF(AND(ISNUMBER(SEARCH(" RAP "," "&amp;SUBSTITUTE($I22,","," ")&amp;" ")),ISNUMBER($L22)),$L22,"")</f>
        <v/>
      </c>
      <c r="AI22" s="16" t="str">
        <f aca="false">IF(AND(ISNUMBER(SEARCH(" AC "," "&amp;SUBSTITUTE($I22,","," ")&amp;" ")),ISNUMBER($L22)),$L22,"")</f>
        <v/>
      </c>
      <c r="AJ22" s="16" t="str">
        <f aca="false">IF(AND(ISNUMBER(SEARCH(" MAC "," "&amp;SUBSTITUTE($I22,","," ")&amp;" ")),ISNUMBER($L22)),$L22,"")</f>
        <v/>
      </c>
      <c r="AK22" s="16" t="str">
        <f aca="false">IF(AND(ISNUMBER(SEARCH(" UAH "," "&amp;SUBSTITUTE($I22,","," ")&amp;" ")),ISNUMBER($L22)),$L22,"")</f>
        <v/>
      </c>
      <c r="AL22" s="16" t="str">
        <f aca="false">IF(AND(ISNUMBER(SEARCH(" RB "," "&amp;SUBSTITUTE($I22,","," ")&amp;" ")),ISNUMBER($L22)),$L22,"")</f>
        <v/>
      </c>
    </row>
    <row r="23" customFormat="false" ht="55.5" hidden="false" customHeight="true" outlineLevel="0" collapsed="false">
      <c r="A23" s="17" t="s">
        <v>290</v>
      </c>
      <c r="B23" s="18" t="s">
        <v>265</v>
      </c>
      <c r="C23" s="18" t="s">
        <v>266</v>
      </c>
      <c r="D23" s="5" t="s">
        <v>291</v>
      </c>
      <c r="E23" s="5" t="s">
        <v>292</v>
      </c>
      <c r="F23" s="5" t="s">
        <v>293</v>
      </c>
      <c r="G23" s="5" t="s">
        <v>294</v>
      </c>
      <c r="H23" s="5" t="s">
        <v>295</v>
      </c>
      <c r="I23" s="13" t="s">
        <v>296</v>
      </c>
      <c r="J23" s="13" t="s">
        <v>48</v>
      </c>
      <c r="K23" s="9" t="n">
        <v>2</v>
      </c>
      <c r="L23" s="9"/>
      <c r="M23" s="13" t="str">
        <f aca="false">IF(ISNUMBER(L23),IF(L23&lt;K23,"Gap","OK"),IF(L23="N/A","N/A",""))</f>
        <v/>
      </c>
      <c r="N23" s="9"/>
      <c r="O23" s="9"/>
      <c r="P23" s="13" t="str">
        <f aca="false">IF(AND(M23="Gap",N23&lt;&gt;"",O23&lt;&gt;""),VLOOKUP(N23&amp;O23,Lists!$H$4:$I$12,2,FALSE()),"")</f>
        <v/>
      </c>
      <c r="Q23" s="13" t="str">
        <f aca="false">IF(AND(M23="Gap",O23="S",OR(N23="H",N23="M")),"Yes","")</f>
        <v/>
      </c>
      <c r="R23" s="9" t="s">
        <v>48</v>
      </c>
      <c r="S23" s="14" t="str">
        <f aca="false">IF(A23="","",IFERROR(IF(OR(VLOOKUP(A23,AutoEvidence!$A$2:$G$400,2,FALSE())="Collected",VLOOKUP(A23,AutoEvidence!$A$2:$G$400,2,FALSE())="Partial"),VLOOKUP(A23,AutoEvidence!$A$2:$G$400,3,FALSE())&amp;" ("&amp;VLOOKUP(A23,AutoEvidence!$A$2:$G$400,2,FALSE())&amp;")",VLOOKUP(A23,AutoEvidence!$A$2:$G$400,2,FALSE())),""))</f>
        <v/>
      </c>
      <c r="T23" s="7" t="str">
        <f aca="false">IF(A23="","",IFERROR(VLOOKUP(A23,AutoEvidence!$A$2:$G$400,4,FALSE())&amp;"",""))</f>
        <v/>
      </c>
      <c r="U23" s="6"/>
      <c r="V23" s="6"/>
      <c r="W23" s="9"/>
      <c r="X23" s="6"/>
      <c r="Y23" s="6"/>
      <c r="Z23" s="9"/>
      <c r="AA23" s="15"/>
      <c r="AB23" s="13" t="str">
        <f aca="false">IF(M23="Gap",1,IF(M23="OK",0,""))</f>
        <v/>
      </c>
      <c r="AC23" s="16" t="str">
        <f aca="false">IF(P23&lt;&gt;"",VALUE(RIGHT(P23,1))*1000+ROW(),"")</f>
        <v/>
      </c>
      <c r="AD23" s="16" t="str">
        <f aca="false">IF(ISNUMBER(L23),MIN(L23,K23),"")</f>
        <v/>
      </c>
      <c r="AE23" s="16" t="str">
        <f aca="false">IF(AND(ISNUMBER(SEARCH(" PA "," "&amp;SUBSTITUTE($I23,","," ")&amp;" ")),ISNUMBER($L23)),$L23,"")</f>
        <v/>
      </c>
      <c r="AF23" s="16" t="str">
        <f aca="false">IF(AND(ISNUMBER(SEARCH(" PO "," "&amp;SUBSTITUTE($I23,","," ")&amp;" ")),ISNUMBER($L23)),$L23,"")</f>
        <v/>
      </c>
      <c r="AG23" s="16" t="str">
        <f aca="false">IF(AND(ISNUMBER(SEARCH(" MFA "," "&amp;SUBSTITUTE($I23,","," ")&amp;" ")),ISNUMBER($L23)),$L23,"")</f>
        <v/>
      </c>
      <c r="AH23" s="16" t="str">
        <f aca="false">IF(AND(ISNUMBER(SEARCH(" RAP "," "&amp;SUBSTITUTE($I23,","," ")&amp;" ")),ISNUMBER($L23)),$L23,"")</f>
        <v/>
      </c>
      <c r="AI23" s="16" t="str">
        <f aca="false">IF(AND(ISNUMBER(SEARCH(" AC "," "&amp;SUBSTITUTE($I23,","," ")&amp;" ")),ISNUMBER($L23)),$L23,"")</f>
        <v/>
      </c>
      <c r="AJ23" s="16" t="str">
        <f aca="false">IF(AND(ISNUMBER(SEARCH(" MAC "," "&amp;SUBSTITUTE($I23,","," ")&amp;" ")),ISNUMBER($L23)),$L23,"")</f>
        <v/>
      </c>
      <c r="AK23" s="16" t="str">
        <f aca="false">IF(AND(ISNUMBER(SEARCH(" UAH "," "&amp;SUBSTITUTE($I23,","," ")&amp;" ")),ISNUMBER($L23)),$L23,"")</f>
        <v/>
      </c>
      <c r="AL23" s="16" t="str">
        <f aca="false">IF(AND(ISNUMBER(SEARCH(" RB "," "&amp;SUBSTITUTE($I23,","," ")&amp;" ")),ISNUMBER($L23)),$L23,"")</f>
        <v/>
      </c>
    </row>
    <row r="24" customFormat="false" ht="69" hidden="false" customHeight="true" outlineLevel="0" collapsed="false">
      <c r="A24" s="17" t="s">
        <v>297</v>
      </c>
      <c r="B24" s="18" t="s">
        <v>265</v>
      </c>
      <c r="C24" s="18" t="s">
        <v>266</v>
      </c>
      <c r="D24" s="5" t="s">
        <v>298</v>
      </c>
      <c r="E24" s="5" t="s">
        <v>299</v>
      </c>
      <c r="F24" s="5" t="s">
        <v>300</v>
      </c>
      <c r="G24" s="5" t="s">
        <v>301</v>
      </c>
      <c r="H24" s="5" t="s">
        <v>302</v>
      </c>
      <c r="I24" s="13"/>
      <c r="J24" s="13" t="s">
        <v>50</v>
      </c>
      <c r="K24" s="9" t="n">
        <v>2</v>
      </c>
      <c r="L24" s="9"/>
      <c r="M24" s="13" t="str">
        <f aca="false">IF(ISNUMBER(L24),IF(L24&lt;K24,"Gap","OK"),IF(L24="N/A","N/A",""))</f>
        <v/>
      </c>
      <c r="N24" s="9"/>
      <c r="O24" s="9"/>
      <c r="P24" s="13" t="str">
        <f aca="false">IF(AND(M24="Gap",N24&lt;&gt;"",O24&lt;&gt;""),VLOOKUP(N24&amp;O24,Lists!$H$4:$I$12,2,FALSE()),"")</f>
        <v/>
      </c>
      <c r="Q24" s="13" t="str">
        <f aca="false">IF(AND(M24="Gap",O24="S",OR(N24="H",N24="M")),"Yes","")</f>
        <v/>
      </c>
      <c r="R24" s="9" t="s">
        <v>50</v>
      </c>
      <c r="S24" s="14" t="str">
        <f aca="false">IF(A24="","",IFERROR(IF(OR(VLOOKUP(A24,AutoEvidence!$A$2:$G$400,2,FALSE())="Collected",VLOOKUP(A24,AutoEvidence!$A$2:$G$400,2,FALSE())="Partial"),VLOOKUP(A24,AutoEvidence!$A$2:$G$400,3,FALSE())&amp;" ("&amp;VLOOKUP(A24,AutoEvidence!$A$2:$G$400,2,FALSE())&amp;")",VLOOKUP(A24,AutoEvidence!$A$2:$G$400,2,FALSE())),""))</f>
        <v/>
      </c>
      <c r="T24" s="7" t="str">
        <f aca="false">IF(A24="","",IFERROR(VLOOKUP(A24,AutoEvidence!$A$2:$G$400,4,FALSE())&amp;"",""))</f>
        <v/>
      </c>
      <c r="U24" s="6"/>
      <c r="V24" s="6"/>
      <c r="W24" s="9"/>
      <c r="X24" s="6"/>
      <c r="Y24" s="6"/>
      <c r="Z24" s="9"/>
      <c r="AA24" s="15"/>
      <c r="AB24" s="13" t="str">
        <f aca="false">IF(M24="Gap",1,IF(M24="OK",0,""))</f>
        <v/>
      </c>
      <c r="AC24" s="16" t="str">
        <f aca="false">IF(P24&lt;&gt;"",VALUE(RIGHT(P24,1))*1000+ROW(),"")</f>
        <v/>
      </c>
      <c r="AD24" s="16" t="str">
        <f aca="false">IF(ISNUMBER(L24),MIN(L24,K24),"")</f>
        <v/>
      </c>
      <c r="AE24" s="16" t="str">
        <f aca="false">IF(AND(ISNUMBER(SEARCH(" PA "," "&amp;SUBSTITUTE($I24,","," ")&amp;" ")),ISNUMBER($L24)),$L24,"")</f>
        <v/>
      </c>
      <c r="AF24" s="16" t="str">
        <f aca="false">IF(AND(ISNUMBER(SEARCH(" PO "," "&amp;SUBSTITUTE($I24,","," ")&amp;" ")),ISNUMBER($L24)),$L24,"")</f>
        <v/>
      </c>
      <c r="AG24" s="16" t="str">
        <f aca="false">IF(AND(ISNUMBER(SEARCH(" MFA "," "&amp;SUBSTITUTE($I24,","," ")&amp;" ")),ISNUMBER($L24)),$L24,"")</f>
        <v/>
      </c>
      <c r="AH24" s="16" t="str">
        <f aca="false">IF(AND(ISNUMBER(SEARCH(" RAP "," "&amp;SUBSTITUTE($I24,","," ")&amp;" ")),ISNUMBER($L24)),$L24,"")</f>
        <v/>
      </c>
      <c r="AI24" s="16" t="str">
        <f aca="false">IF(AND(ISNUMBER(SEARCH(" AC "," "&amp;SUBSTITUTE($I24,","," ")&amp;" ")),ISNUMBER($L24)),$L24,"")</f>
        <v/>
      </c>
      <c r="AJ24" s="16" t="str">
        <f aca="false">IF(AND(ISNUMBER(SEARCH(" MAC "," "&amp;SUBSTITUTE($I24,","," ")&amp;" ")),ISNUMBER($L24)),$L24,"")</f>
        <v/>
      </c>
      <c r="AK24" s="16" t="str">
        <f aca="false">IF(AND(ISNUMBER(SEARCH(" UAH "," "&amp;SUBSTITUTE($I24,","," ")&amp;" ")),ISNUMBER($L24)),$L24,"")</f>
        <v/>
      </c>
      <c r="AL24" s="16" t="str">
        <f aca="false">IF(AND(ISNUMBER(SEARCH(" RB "," "&amp;SUBSTITUTE($I24,","," ")&amp;" ")),ISNUMBER($L24)),$L24,"")</f>
        <v/>
      </c>
    </row>
    <row r="25" customFormat="false" ht="69" hidden="false" customHeight="true" outlineLevel="0" collapsed="false">
      <c r="A25" s="17" t="s">
        <v>303</v>
      </c>
      <c r="B25" s="18" t="s">
        <v>265</v>
      </c>
      <c r="C25" s="18" t="s">
        <v>266</v>
      </c>
      <c r="D25" s="5" t="s">
        <v>304</v>
      </c>
      <c r="E25" s="5" t="s">
        <v>305</v>
      </c>
      <c r="F25" s="5" t="s">
        <v>306</v>
      </c>
      <c r="G25" s="5" t="s">
        <v>307</v>
      </c>
      <c r="H25" s="5" t="s">
        <v>308</v>
      </c>
      <c r="I25" s="13"/>
      <c r="J25" s="13" t="s">
        <v>50</v>
      </c>
      <c r="K25" s="9" t="n">
        <v>2</v>
      </c>
      <c r="L25" s="9"/>
      <c r="M25" s="13" t="str">
        <f aca="false">IF(ISNUMBER(L25),IF(L25&lt;K25,"Gap","OK"),IF(L25="N/A","N/A",""))</f>
        <v/>
      </c>
      <c r="N25" s="9"/>
      <c r="O25" s="9"/>
      <c r="P25" s="13" t="str">
        <f aca="false">IF(AND(M25="Gap",N25&lt;&gt;"",O25&lt;&gt;""),VLOOKUP(N25&amp;O25,Lists!$H$4:$I$12,2,FALSE()),"")</f>
        <v/>
      </c>
      <c r="Q25" s="13" t="str">
        <f aca="false">IF(AND(M25="Gap",O25="S",OR(N25="H",N25="M")),"Yes","")</f>
        <v/>
      </c>
      <c r="R25" s="9" t="s">
        <v>50</v>
      </c>
      <c r="S25" s="14" t="str">
        <f aca="false">IF(A25="","",IFERROR(IF(OR(VLOOKUP(A25,AutoEvidence!$A$2:$G$400,2,FALSE())="Collected",VLOOKUP(A25,AutoEvidence!$A$2:$G$400,2,FALSE())="Partial"),VLOOKUP(A25,AutoEvidence!$A$2:$G$400,3,FALSE())&amp;" ("&amp;VLOOKUP(A25,AutoEvidence!$A$2:$G$400,2,FALSE())&amp;")",VLOOKUP(A25,AutoEvidence!$A$2:$G$400,2,FALSE())),""))</f>
        <v/>
      </c>
      <c r="T25" s="7" t="str">
        <f aca="false">IF(A25="","",IFERROR(VLOOKUP(A25,AutoEvidence!$A$2:$G$400,4,FALSE())&amp;"",""))</f>
        <v/>
      </c>
      <c r="U25" s="6"/>
      <c r="V25" s="6"/>
      <c r="W25" s="9"/>
      <c r="X25" s="6"/>
      <c r="Y25" s="6"/>
      <c r="Z25" s="9"/>
      <c r="AA25" s="15"/>
      <c r="AB25" s="13" t="str">
        <f aca="false">IF(M25="Gap",1,IF(M25="OK",0,""))</f>
        <v/>
      </c>
      <c r="AC25" s="16" t="str">
        <f aca="false">IF(P25&lt;&gt;"",VALUE(RIGHT(P25,1))*1000+ROW(),"")</f>
        <v/>
      </c>
      <c r="AD25" s="16" t="str">
        <f aca="false">IF(ISNUMBER(L25),MIN(L25,K25),"")</f>
        <v/>
      </c>
      <c r="AE25" s="16" t="str">
        <f aca="false">IF(AND(ISNUMBER(SEARCH(" PA "," "&amp;SUBSTITUTE($I25,","," ")&amp;" ")),ISNUMBER($L25)),$L25,"")</f>
        <v/>
      </c>
      <c r="AF25" s="16" t="str">
        <f aca="false">IF(AND(ISNUMBER(SEARCH(" PO "," "&amp;SUBSTITUTE($I25,","," ")&amp;" ")),ISNUMBER($L25)),$L25,"")</f>
        <v/>
      </c>
      <c r="AG25" s="16" t="str">
        <f aca="false">IF(AND(ISNUMBER(SEARCH(" MFA "," "&amp;SUBSTITUTE($I25,","," ")&amp;" ")),ISNUMBER($L25)),$L25,"")</f>
        <v/>
      </c>
      <c r="AH25" s="16" t="str">
        <f aca="false">IF(AND(ISNUMBER(SEARCH(" RAP "," "&amp;SUBSTITUTE($I25,","," ")&amp;" ")),ISNUMBER($L25)),$L25,"")</f>
        <v/>
      </c>
      <c r="AI25" s="16" t="str">
        <f aca="false">IF(AND(ISNUMBER(SEARCH(" AC "," "&amp;SUBSTITUTE($I25,","," ")&amp;" ")),ISNUMBER($L25)),$L25,"")</f>
        <v/>
      </c>
      <c r="AJ25" s="16" t="str">
        <f aca="false">IF(AND(ISNUMBER(SEARCH(" MAC "," "&amp;SUBSTITUTE($I25,","," ")&amp;" ")),ISNUMBER($L25)),$L25,"")</f>
        <v/>
      </c>
      <c r="AK25" s="16" t="str">
        <f aca="false">IF(AND(ISNUMBER(SEARCH(" UAH "," "&amp;SUBSTITUTE($I25,","," ")&amp;" ")),ISNUMBER($L25)),$L25,"")</f>
        <v/>
      </c>
      <c r="AL25" s="16" t="str">
        <f aca="false">IF(AND(ISNUMBER(SEARCH(" RB "," "&amp;SUBSTITUTE($I25,","," ")&amp;" ")),ISNUMBER($L25)),$L25,"")</f>
        <v/>
      </c>
    </row>
    <row r="26" customFormat="false" ht="69" hidden="false" customHeight="true" outlineLevel="0" collapsed="false">
      <c r="A26" s="17" t="s">
        <v>309</v>
      </c>
      <c r="B26" s="18" t="s">
        <v>265</v>
      </c>
      <c r="C26" s="18" t="s">
        <v>266</v>
      </c>
      <c r="D26" s="5" t="s">
        <v>310</v>
      </c>
      <c r="E26" s="5" t="s">
        <v>311</v>
      </c>
      <c r="F26" s="5" t="s">
        <v>312</v>
      </c>
      <c r="G26" s="5" t="s">
        <v>313</v>
      </c>
      <c r="H26" s="5" t="s">
        <v>314</v>
      </c>
      <c r="I26" s="13"/>
      <c r="J26" s="13" t="s">
        <v>50</v>
      </c>
      <c r="K26" s="9" t="n">
        <v>2</v>
      </c>
      <c r="L26" s="9"/>
      <c r="M26" s="13" t="str">
        <f aca="false">IF(ISNUMBER(L26),IF(L26&lt;K26,"Gap","OK"),IF(L26="N/A","N/A",""))</f>
        <v/>
      </c>
      <c r="N26" s="9"/>
      <c r="O26" s="9"/>
      <c r="P26" s="13" t="str">
        <f aca="false">IF(AND(M26="Gap",N26&lt;&gt;"",O26&lt;&gt;""),VLOOKUP(N26&amp;O26,Lists!$H$4:$I$12,2,FALSE()),"")</f>
        <v/>
      </c>
      <c r="Q26" s="13" t="str">
        <f aca="false">IF(AND(M26="Gap",O26="S",OR(N26="H",N26="M")),"Yes","")</f>
        <v/>
      </c>
      <c r="R26" s="9" t="s">
        <v>50</v>
      </c>
      <c r="S26" s="14" t="str">
        <f aca="false">IF(A26="","",IFERROR(IF(OR(VLOOKUP(A26,AutoEvidence!$A$2:$G$400,2,FALSE())="Collected",VLOOKUP(A26,AutoEvidence!$A$2:$G$400,2,FALSE())="Partial"),VLOOKUP(A26,AutoEvidence!$A$2:$G$400,3,FALSE())&amp;" ("&amp;VLOOKUP(A26,AutoEvidence!$A$2:$G$400,2,FALSE())&amp;")",VLOOKUP(A26,AutoEvidence!$A$2:$G$400,2,FALSE())),""))</f>
        <v/>
      </c>
      <c r="T26" s="7" t="str">
        <f aca="false">IF(A26="","",IFERROR(VLOOKUP(A26,AutoEvidence!$A$2:$G$400,4,FALSE())&amp;"",""))</f>
        <v/>
      </c>
      <c r="U26" s="6"/>
      <c r="V26" s="6"/>
      <c r="W26" s="9"/>
      <c r="X26" s="6"/>
      <c r="Y26" s="6"/>
      <c r="Z26" s="9"/>
      <c r="AA26" s="15"/>
      <c r="AB26" s="13" t="str">
        <f aca="false">IF(M26="Gap",1,IF(M26="OK",0,""))</f>
        <v/>
      </c>
      <c r="AC26" s="16" t="str">
        <f aca="false">IF(P26&lt;&gt;"",VALUE(RIGHT(P26,1))*1000+ROW(),"")</f>
        <v/>
      </c>
      <c r="AD26" s="16" t="str">
        <f aca="false">IF(ISNUMBER(L26),MIN(L26,K26),"")</f>
        <v/>
      </c>
      <c r="AE26" s="16" t="str">
        <f aca="false">IF(AND(ISNUMBER(SEARCH(" PA "," "&amp;SUBSTITUTE($I26,","," ")&amp;" ")),ISNUMBER($L26)),$L26,"")</f>
        <v/>
      </c>
      <c r="AF26" s="16" t="str">
        <f aca="false">IF(AND(ISNUMBER(SEARCH(" PO "," "&amp;SUBSTITUTE($I26,","," ")&amp;" ")),ISNUMBER($L26)),$L26,"")</f>
        <v/>
      </c>
      <c r="AG26" s="16" t="str">
        <f aca="false">IF(AND(ISNUMBER(SEARCH(" MFA "," "&amp;SUBSTITUTE($I26,","," ")&amp;" ")),ISNUMBER($L26)),$L26,"")</f>
        <v/>
      </c>
      <c r="AH26" s="16" t="str">
        <f aca="false">IF(AND(ISNUMBER(SEARCH(" RAP "," "&amp;SUBSTITUTE($I26,","," ")&amp;" ")),ISNUMBER($L26)),$L26,"")</f>
        <v/>
      </c>
      <c r="AI26" s="16" t="str">
        <f aca="false">IF(AND(ISNUMBER(SEARCH(" AC "," "&amp;SUBSTITUTE($I26,","," ")&amp;" ")),ISNUMBER($L26)),$L26,"")</f>
        <v/>
      </c>
      <c r="AJ26" s="16" t="str">
        <f aca="false">IF(AND(ISNUMBER(SEARCH(" MAC "," "&amp;SUBSTITUTE($I26,","," ")&amp;" ")),ISNUMBER($L26)),$L26,"")</f>
        <v/>
      </c>
      <c r="AK26" s="16" t="str">
        <f aca="false">IF(AND(ISNUMBER(SEARCH(" UAH "," "&amp;SUBSTITUTE($I26,","," ")&amp;" ")),ISNUMBER($L26)),$L26,"")</f>
        <v/>
      </c>
      <c r="AL26" s="16" t="str">
        <f aca="false">IF(AND(ISNUMBER(SEARCH(" RB "," "&amp;SUBSTITUTE($I26,","," ")&amp;" ")),ISNUMBER($L26)),$L26,"")</f>
        <v/>
      </c>
    </row>
    <row r="27" customFormat="false" ht="55.5" hidden="false" customHeight="true" outlineLevel="0" collapsed="false">
      <c r="A27" s="17" t="s">
        <v>315</v>
      </c>
      <c r="B27" s="18" t="s">
        <v>265</v>
      </c>
      <c r="C27" s="18" t="s">
        <v>266</v>
      </c>
      <c r="D27" s="5" t="s">
        <v>316</v>
      </c>
      <c r="E27" s="5" t="s">
        <v>317</v>
      </c>
      <c r="F27" s="5" t="s">
        <v>318</v>
      </c>
      <c r="G27" s="5" t="s">
        <v>319</v>
      </c>
      <c r="H27" s="5" t="s">
        <v>320</v>
      </c>
      <c r="I27" s="13" t="s">
        <v>321</v>
      </c>
      <c r="J27" s="13" t="s">
        <v>48</v>
      </c>
      <c r="K27" s="9" t="n">
        <v>2</v>
      </c>
      <c r="L27" s="9"/>
      <c r="M27" s="13" t="str">
        <f aca="false">IF(ISNUMBER(L27),IF(L27&lt;K27,"Gap","OK"),IF(L27="N/A","N/A",""))</f>
        <v/>
      </c>
      <c r="N27" s="9"/>
      <c r="O27" s="9"/>
      <c r="P27" s="13" t="str">
        <f aca="false">IF(AND(M27="Gap",N27&lt;&gt;"",O27&lt;&gt;""),VLOOKUP(N27&amp;O27,Lists!$H$4:$I$12,2,FALSE()),"")</f>
        <v/>
      </c>
      <c r="Q27" s="13" t="str">
        <f aca="false">IF(AND(M27="Gap",O27="S",OR(N27="H",N27="M")),"Yes","")</f>
        <v/>
      </c>
      <c r="R27" s="9" t="s">
        <v>48</v>
      </c>
      <c r="S27" s="14" t="str">
        <f aca="false">IF(A27="","",IFERROR(IF(OR(VLOOKUP(A27,AutoEvidence!$A$2:$G$400,2,FALSE())="Collected",VLOOKUP(A27,AutoEvidence!$A$2:$G$400,2,FALSE())="Partial"),VLOOKUP(A27,AutoEvidence!$A$2:$G$400,3,FALSE())&amp;" ("&amp;VLOOKUP(A27,AutoEvidence!$A$2:$G$400,2,FALSE())&amp;")",VLOOKUP(A27,AutoEvidence!$A$2:$G$400,2,FALSE())),""))</f>
        <v/>
      </c>
      <c r="T27" s="7" t="str">
        <f aca="false">IF(A27="","",IFERROR(VLOOKUP(A27,AutoEvidence!$A$2:$G$400,4,FALSE())&amp;"",""))</f>
        <v/>
      </c>
      <c r="U27" s="6"/>
      <c r="V27" s="6"/>
      <c r="W27" s="9"/>
      <c r="X27" s="6"/>
      <c r="Y27" s="6"/>
      <c r="Z27" s="9"/>
      <c r="AA27" s="15"/>
      <c r="AB27" s="13" t="str">
        <f aca="false">IF(M27="Gap",1,IF(M27="OK",0,""))</f>
        <v/>
      </c>
      <c r="AC27" s="16" t="str">
        <f aca="false">IF(P27&lt;&gt;"",VALUE(RIGHT(P27,1))*1000+ROW(),"")</f>
        <v/>
      </c>
      <c r="AD27" s="16" t="str">
        <f aca="false">IF(ISNUMBER(L27),MIN(L27,K27),"")</f>
        <v/>
      </c>
      <c r="AE27" s="16" t="str">
        <f aca="false">IF(AND(ISNUMBER(SEARCH(" PA "," "&amp;SUBSTITUTE($I27,","," ")&amp;" ")),ISNUMBER($L27)),$L27,"")</f>
        <v/>
      </c>
      <c r="AF27" s="16" t="str">
        <f aca="false">IF(AND(ISNUMBER(SEARCH(" PO "," "&amp;SUBSTITUTE($I27,","," ")&amp;" ")),ISNUMBER($L27)),$L27,"")</f>
        <v/>
      </c>
      <c r="AG27" s="16" t="str">
        <f aca="false">IF(AND(ISNUMBER(SEARCH(" MFA "," "&amp;SUBSTITUTE($I27,","," ")&amp;" ")),ISNUMBER($L27)),$L27,"")</f>
        <v/>
      </c>
      <c r="AH27" s="16" t="str">
        <f aca="false">IF(AND(ISNUMBER(SEARCH(" RAP "," "&amp;SUBSTITUTE($I27,","," ")&amp;" ")),ISNUMBER($L27)),$L27,"")</f>
        <v/>
      </c>
      <c r="AI27" s="16" t="str">
        <f aca="false">IF(AND(ISNUMBER(SEARCH(" AC "," "&amp;SUBSTITUTE($I27,","," ")&amp;" ")),ISNUMBER($L27)),$L27,"")</f>
        <v/>
      </c>
      <c r="AJ27" s="16" t="str">
        <f aca="false">IF(AND(ISNUMBER(SEARCH(" MAC "," "&amp;SUBSTITUTE($I27,","," ")&amp;" ")),ISNUMBER($L27)),$L27,"")</f>
        <v/>
      </c>
      <c r="AK27" s="16" t="str">
        <f aca="false">IF(AND(ISNUMBER(SEARCH(" UAH "," "&amp;SUBSTITUTE($I27,","," ")&amp;" ")),ISNUMBER($L27)),$L27,"")</f>
        <v/>
      </c>
      <c r="AL27" s="16" t="str">
        <f aca="false">IF(AND(ISNUMBER(SEARCH(" RB "," "&amp;SUBSTITUTE($I27,","," ")&amp;" ")),ISNUMBER($L27)),$L27,"")</f>
        <v/>
      </c>
    </row>
    <row r="28" customFormat="false" ht="55.5" hidden="false" customHeight="true" outlineLevel="0" collapsed="false">
      <c r="A28" s="17" t="s">
        <v>322</v>
      </c>
      <c r="B28" s="18" t="s">
        <v>265</v>
      </c>
      <c r="C28" s="18" t="s">
        <v>266</v>
      </c>
      <c r="D28" s="5" t="s">
        <v>323</v>
      </c>
      <c r="E28" s="5" t="s">
        <v>324</v>
      </c>
      <c r="F28" s="5" t="s">
        <v>325</v>
      </c>
      <c r="G28" s="5" t="s">
        <v>326</v>
      </c>
      <c r="H28" s="5" t="s">
        <v>327</v>
      </c>
      <c r="I28" s="13"/>
      <c r="J28" s="13" t="s">
        <v>50</v>
      </c>
      <c r="K28" s="9" t="n">
        <v>2</v>
      </c>
      <c r="L28" s="9"/>
      <c r="M28" s="13" t="str">
        <f aca="false">IF(ISNUMBER(L28),IF(L28&lt;K28,"Gap","OK"),IF(L28="N/A","N/A",""))</f>
        <v/>
      </c>
      <c r="N28" s="9"/>
      <c r="O28" s="9"/>
      <c r="P28" s="13" t="str">
        <f aca="false">IF(AND(M28="Gap",N28&lt;&gt;"",O28&lt;&gt;""),VLOOKUP(N28&amp;O28,Lists!$H$4:$I$12,2,FALSE()),"")</f>
        <v/>
      </c>
      <c r="Q28" s="13" t="str">
        <f aca="false">IF(AND(M28="Gap",O28="S",OR(N28="H",N28="M")),"Yes","")</f>
        <v/>
      </c>
      <c r="R28" s="9" t="s">
        <v>50</v>
      </c>
      <c r="S28" s="14" t="str">
        <f aca="false">IF(A28="","",IFERROR(IF(OR(VLOOKUP(A28,AutoEvidence!$A$2:$G$400,2,FALSE())="Collected",VLOOKUP(A28,AutoEvidence!$A$2:$G$400,2,FALSE())="Partial"),VLOOKUP(A28,AutoEvidence!$A$2:$G$400,3,FALSE())&amp;" ("&amp;VLOOKUP(A28,AutoEvidence!$A$2:$G$400,2,FALSE())&amp;")",VLOOKUP(A28,AutoEvidence!$A$2:$G$400,2,FALSE())),""))</f>
        <v/>
      </c>
      <c r="T28" s="7" t="str">
        <f aca="false">IF(A28="","",IFERROR(VLOOKUP(A28,AutoEvidence!$A$2:$G$400,4,FALSE())&amp;"",""))</f>
        <v/>
      </c>
      <c r="U28" s="6"/>
      <c r="V28" s="6"/>
      <c r="W28" s="9"/>
      <c r="X28" s="6"/>
      <c r="Y28" s="6"/>
      <c r="Z28" s="9"/>
      <c r="AA28" s="15"/>
      <c r="AB28" s="13" t="str">
        <f aca="false">IF(M28="Gap",1,IF(M28="OK",0,""))</f>
        <v/>
      </c>
      <c r="AC28" s="16" t="str">
        <f aca="false">IF(P28&lt;&gt;"",VALUE(RIGHT(P28,1))*1000+ROW(),"")</f>
        <v/>
      </c>
      <c r="AD28" s="16" t="str">
        <f aca="false">IF(ISNUMBER(L28),MIN(L28,K28),"")</f>
        <v/>
      </c>
      <c r="AE28" s="16" t="str">
        <f aca="false">IF(AND(ISNUMBER(SEARCH(" PA "," "&amp;SUBSTITUTE($I28,","," ")&amp;" ")),ISNUMBER($L28)),$L28,"")</f>
        <v/>
      </c>
      <c r="AF28" s="16" t="str">
        <f aca="false">IF(AND(ISNUMBER(SEARCH(" PO "," "&amp;SUBSTITUTE($I28,","," ")&amp;" ")),ISNUMBER($L28)),$L28,"")</f>
        <v/>
      </c>
      <c r="AG28" s="16" t="str">
        <f aca="false">IF(AND(ISNUMBER(SEARCH(" MFA "," "&amp;SUBSTITUTE($I28,","," ")&amp;" ")),ISNUMBER($L28)),$L28,"")</f>
        <v/>
      </c>
      <c r="AH28" s="16" t="str">
        <f aca="false">IF(AND(ISNUMBER(SEARCH(" RAP "," "&amp;SUBSTITUTE($I28,","," ")&amp;" ")),ISNUMBER($L28)),$L28,"")</f>
        <v/>
      </c>
      <c r="AI28" s="16" t="str">
        <f aca="false">IF(AND(ISNUMBER(SEARCH(" AC "," "&amp;SUBSTITUTE($I28,","," ")&amp;" ")),ISNUMBER($L28)),$L28,"")</f>
        <v/>
      </c>
      <c r="AJ28" s="16" t="str">
        <f aca="false">IF(AND(ISNUMBER(SEARCH(" MAC "," "&amp;SUBSTITUTE($I28,","," ")&amp;" ")),ISNUMBER($L28)),$L28,"")</f>
        <v/>
      </c>
      <c r="AK28" s="16" t="str">
        <f aca="false">IF(AND(ISNUMBER(SEARCH(" UAH "," "&amp;SUBSTITUTE($I28,","," ")&amp;" ")),ISNUMBER($L28)),$L28,"")</f>
        <v/>
      </c>
      <c r="AL28" s="16" t="str">
        <f aca="false">IF(AND(ISNUMBER(SEARCH(" RB "," "&amp;SUBSTITUTE($I28,","," ")&amp;" ")),ISNUMBER($L28)),$L28,"")</f>
        <v/>
      </c>
    </row>
    <row r="29" customFormat="false" ht="55.5" hidden="false" customHeight="true" outlineLevel="0" collapsed="false">
      <c r="A29" s="17" t="s">
        <v>328</v>
      </c>
      <c r="B29" s="18" t="s">
        <v>265</v>
      </c>
      <c r="C29" s="18" t="s">
        <v>266</v>
      </c>
      <c r="D29" s="5" t="s">
        <v>329</v>
      </c>
      <c r="E29" s="5" t="s">
        <v>330</v>
      </c>
      <c r="F29" s="5" t="s">
        <v>331</v>
      </c>
      <c r="G29" s="5" t="s">
        <v>332</v>
      </c>
      <c r="H29" s="5" t="s">
        <v>333</v>
      </c>
      <c r="I29" s="13"/>
      <c r="J29" s="13" t="s">
        <v>46</v>
      </c>
      <c r="K29" s="9" t="n">
        <v>2</v>
      </c>
      <c r="L29" s="9"/>
      <c r="M29" s="13" t="str">
        <f aca="false">IF(ISNUMBER(L29),IF(L29&lt;K29,"Gap","OK"),IF(L29="N/A","N/A",""))</f>
        <v/>
      </c>
      <c r="N29" s="9"/>
      <c r="O29" s="9"/>
      <c r="P29" s="13" t="str">
        <f aca="false">IF(AND(M29="Gap",N29&lt;&gt;"",O29&lt;&gt;""),VLOOKUP(N29&amp;O29,Lists!$H$4:$I$12,2,FALSE()),"")</f>
        <v/>
      </c>
      <c r="Q29" s="13" t="str">
        <f aca="false">IF(AND(M29="Gap",O29="S",OR(N29="H",N29="M")),"Yes","")</f>
        <v/>
      </c>
      <c r="R29" s="9" t="s">
        <v>46</v>
      </c>
      <c r="S29" s="14" t="str">
        <f aca="false">IF(A29="","",IFERROR(IF(OR(VLOOKUP(A29,AutoEvidence!$A$2:$G$400,2,FALSE())="Collected",VLOOKUP(A29,AutoEvidence!$A$2:$G$400,2,FALSE())="Partial"),VLOOKUP(A29,AutoEvidence!$A$2:$G$400,3,FALSE())&amp;" ("&amp;VLOOKUP(A29,AutoEvidence!$A$2:$G$400,2,FALSE())&amp;")",VLOOKUP(A29,AutoEvidence!$A$2:$G$400,2,FALSE())),""))</f>
        <v/>
      </c>
      <c r="T29" s="7" t="str">
        <f aca="false">IF(A29="","",IFERROR(VLOOKUP(A29,AutoEvidence!$A$2:$G$400,4,FALSE())&amp;"",""))</f>
        <v/>
      </c>
      <c r="U29" s="6"/>
      <c r="V29" s="6"/>
      <c r="W29" s="9"/>
      <c r="X29" s="6"/>
      <c r="Y29" s="6"/>
      <c r="Z29" s="9"/>
      <c r="AA29" s="15"/>
      <c r="AB29" s="13" t="str">
        <f aca="false">IF(M29="Gap",1,IF(M29="OK",0,""))</f>
        <v/>
      </c>
      <c r="AC29" s="16" t="str">
        <f aca="false">IF(P29&lt;&gt;"",VALUE(RIGHT(P29,1))*1000+ROW(),"")</f>
        <v/>
      </c>
      <c r="AD29" s="16" t="str">
        <f aca="false">IF(ISNUMBER(L29),MIN(L29,K29),"")</f>
        <v/>
      </c>
      <c r="AE29" s="16" t="str">
        <f aca="false">IF(AND(ISNUMBER(SEARCH(" PA "," "&amp;SUBSTITUTE($I29,","," ")&amp;" ")),ISNUMBER($L29)),$L29,"")</f>
        <v/>
      </c>
      <c r="AF29" s="16" t="str">
        <f aca="false">IF(AND(ISNUMBER(SEARCH(" PO "," "&amp;SUBSTITUTE($I29,","," ")&amp;" ")),ISNUMBER($L29)),$L29,"")</f>
        <v/>
      </c>
      <c r="AG29" s="16" t="str">
        <f aca="false">IF(AND(ISNUMBER(SEARCH(" MFA "," "&amp;SUBSTITUTE($I29,","," ")&amp;" ")),ISNUMBER($L29)),$L29,"")</f>
        <v/>
      </c>
      <c r="AH29" s="16" t="str">
        <f aca="false">IF(AND(ISNUMBER(SEARCH(" RAP "," "&amp;SUBSTITUTE($I29,","," ")&amp;" ")),ISNUMBER($L29)),$L29,"")</f>
        <v/>
      </c>
      <c r="AI29" s="16" t="str">
        <f aca="false">IF(AND(ISNUMBER(SEARCH(" AC "," "&amp;SUBSTITUTE($I29,","," ")&amp;" ")),ISNUMBER($L29)),$L29,"")</f>
        <v/>
      </c>
      <c r="AJ29" s="16" t="str">
        <f aca="false">IF(AND(ISNUMBER(SEARCH(" MAC "," "&amp;SUBSTITUTE($I29,","," ")&amp;" ")),ISNUMBER($L29)),$L29,"")</f>
        <v/>
      </c>
      <c r="AK29" s="16" t="str">
        <f aca="false">IF(AND(ISNUMBER(SEARCH(" UAH "," "&amp;SUBSTITUTE($I29,","," ")&amp;" ")),ISNUMBER($L29)),$L29,"")</f>
        <v/>
      </c>
      <c r="AL29" s="16" t="str">
        <f aca="false">IF(AND(ISNUMBER(SEARCH(" RB "," "&amp;SUBSTITUTE($I29,","," ")&amp;" ")),ISNUMBER($L29)),$L29,"")</f>
        <v/>
      </c>
    </row>
    <row r="30" customFormat="false" ht="55.5" hidden="false" customHeight="true" outlineLevel="0" collapsed="false">
      <c r="A30" s="17" t="s">
        <v>334</v>
      </c>
      <c r="B30" s="18" t="s">
        <v>265</v>
      </c>
      <c r="C30" s="18" t="s">
        <v>266</v>
      </c>
      <c r="D30" s="5" t="s">
        <v>335</v>
      </c>
      <c r="E30" s="5" t="s">
        <v>336</v>
      </c>
      <c r="F30" s="5" t="s">
        <v>337</v>
      </c>
      <c r="G30" s="5" t="s">
        <v>338</v>
      </c>
      <c r="H30" s="5" t="s">
        <v>339</v>
      </c>
      <c r="I30" s="13"/>
      <c r="J30" s="13" t="s">
        <v>46</v>
      </c>
      <c r="K30" s="9" t="n">
        <v>2</v>
      </c>
      <c r="L30" s="9"/>
      <c r="M30" s="13" t="str">
        <f aca="false">IF(ISNUMBER(L30),IF(L30&lt;K30,"Gap","OK"),IF(L30="N/A","N/A",""))</f>
        <v/>
      </c>
      <c r="N30" s="9"/>
      <c r="O30" s="9"/>
      <c r="P30" s="13" t="str">
        <f aca="false">IF(AND(M30="Gap",N30&lt;&gt;"",O30&lt;&gt;""),VLOOKUP(N30&amp;O30,Lists!$H$4:$I$12,2,FALSE()),"")</f>
        <v/>
      </c>
      <c r="Q30" s="13" t="str">
        <f aca="false">IF(AND(M30="Gap",O30="S",OR(N30="H",N30="M")),"Yes","")</f>
        <v/>
      </c>
      <c r="R30" s="9" t="s">
        <v>46</v>
      </c>
      <c r="S30" s="14" t="str">
        <f aca="false">IF(A30="","",IFERROR(IF(OR(VLOOKUP(A30,AutoEvidence!$A$2:$G$400,2,FALSE())="Collected",VLOOKUP(A30,AutoEvidence!$A$2:$G$400,2,FALSE())="Partial"),VLOOKUP(A30,AutoEvidence!$A$2:$G$400,3,FALSE())&amp;" ("&amp;VLOOKUP(A30,AutoEvidence!$A$2:$G$400,2,FALSE())&amp;")",VLOOKUP(A30,AutoEvidence!$A$2:$G$400,2,FALSE())),""))</f>
        <v/>
      </c>
      <c r="T30" s="7" t="str">
        <f aca="false">IF(A30="","",IFERROR(VLOOKUP(A30,AutoEvidence!$A$2:$G$400,4,FALSE())&amp;"",""))</f>
        <v/>
      </c>
      <c r="U30" s="6"/>
      <c r="V30" s="6"/>
      <c r="W30" s="9"/>
      <c r="X30" s="6"/>
      <c r="Y30" s="6"/>
      <c r="Z30" s="9"/>
      <c r="AA30" s="15"/>
      <c r="AB30" s="13" t="str">
        <f aca="false">IF(M30="Gap",1,IF(M30="OK",0,""))</f>
        <v/>
      </c>
      <c r="AC30" s="16" t="str">
        <f aca="false">IF(P30&lt;&gt;"",VALUE(RIGHT(P30,1))*1000+ROW(),"")</f>
        <v/>
      </c>
      <c r="AD30" s="16" t="str">
        <f aca="false">IF(ISNUMBER(L30),MIN(L30,K30),"")</f>
        <v/>
      </c>
      <c r="AE30" s="16" t="str">
        <f aca="false">IF(AND(ISNUMBER(SEARCH(" PA "," "&amp;SUBSTITUTE($I30,","," ")&amp;" ")),ISNUMBER($L30)),$L30,"")</f>
        <v/>
      </c>
      <c r="AF30" s="16" t="str">
        <f aca="false">IF(AND(ISNUMBER(SEARCH(" PO "," "&amp;SUBSTITUTE($I30,","," ")&amp;" ")),ISNUMBER($L30)),$L30,"")</f>
        <v/>
      </c>
      <c r="AG30" s="16" t="str">
        <f aca="false">IF(AND(ISNUMBER(SEARCH(" MFA "," "&amp;SUBSTITUTE($I30,","," ")&amp;" ")),ISNUMBER($L30)),$L30,"")</f>
        <v/>
      </c>
      <c r="AH30" s="16" t="str">
        <f aca="false">IF(AND(ISNUMBER(SEARCH(" RAP "," "&amp;SUBSTITUTE($I30,","," ")&amp;" ")),ISNUMBER($L30)),$L30,"")</f>
        <v/>
      </c>
      <c r="AI30" s="16" t="str">
        <f aca="false">IF(AND(ISNUMBER(SEARCH(" AC "," "&amp;SUBSTITUTE($I30,","," ")&amp;" ")),ISNUMBER($L30)),$L30,"")</f>
        <v/>
      </c>
      <c r="AJ30" s="16" t="str">
        <f aca="false">IF(AND(ISNUMBER(SEARCH(" MAC "," "&amp;SUBSTITUTE($I30,","," ")&amp;" ")),ISNUMBER($L30)),$L30,"")</f>
        <v/>
      </c>
      <c r="AK30" s="16" t="str">
        <f aca="false">IF(AND(ISNUMBER(SEARCH(" UAH "," "&amp;SUBSTITUTE($I30,","," ")&amp;" ")),ISNUMBER($L30)),$L30,"")</f>
        <v/>
      </c>
      <c r="AL30" s="16" t="str">
        <f aca="false">IF(AND(ISNUMBER(SEARCH(" RB "," "&amp;SUBSTITUTE($I30,","," ")&amp;" ")),ISNUMBER($L30)),$L30,"")</f>
        <v/>
      </c>
    </row>
    <row r="31" customFormat="false" ht="55.5" hidden="false" customHeight="true" outlineLevel="0" collapsed="false">
      <c r="A31" s="4" t="s">
        <v>340</v>
      </c>
      <c r="B31" s="5" t="s">
        <v>341</v>
      </c>
      <c r="C31" s="5" t="s">
        <v>342</v>
      </c>
      <c r="D31" s="5" t="s">
        <v>343</v>
      </c>
      <c r="E31" s="5" t="s">
        <v>344</v>
      </c>
      <c r="F31" s="5" t="s">
        <v>345</v>
      </c>
      <c r="G31" s="5" t="s">
        <v>346</v>
      </c>
      <c r="H31" s="5" t="s">
        <v>347</v>
      </c>
      <c r="I31" s="13"/>
      <c r="J31" s="13" t="s">
        <v>46</v>
      </c>
      <c r="K31" s="9" t="n">
        <v>2</v>
      </c>
      <c r="L31" s="9"/>
      <c r="M31" s="13" t="str">
        <f aca="false">IF(ISNUMBER(L31),IF(L31&lt;K31,"Gap","OK"),IF(L31="N/A","N/A",""))</f>
        <v/>
      </c>
      <c r="N31" s="9"/>
      <c r="O31" s="9"/>
      <c r="P31" s="13" t="str">
        <f aca="false">IF(AND(M31="Gap",N31&lt;&gt;"",O31&lt;&gt;""),VLOOKUP(N31&amp;O31,Lists!$H$4:$I$12,2,FALSE()),"")</f>
        <v/>
      </c>
      <c r="Q31" s="13" t="str">
        <f aca="false">IF(AND(M31="Gap",O31="S",OR(N31="H",N31="M")),"Yes","")</f>
        <v/>
      </c>
      <c r="R31" s="9" t="s">
        <v>46</v>
      </c>
      <c r="S31" s="14" t="str">
        <f aca="false">IF(A31="","",IFERROR(IF(OR(VLOOKUP(A31,AutoEvidence!$A$2:$G$400,2,FALSE())="Collected",VLOOKUP(A31,AutoEvidence!$A$2:$G$400,2,FALSE())="Partial"),VLOOKUP(A31,AutoEvidence!$A$2:$G$400,3,FALSE())&amp;" ("&amp;VLOOKUP(A31,AutoEvidence!$A$2:$G$400,2,FALSE())&amp;")",VLOOKUP(A31,AutoEvidence!$A$2:$G$400,2,FALSE())),""))</f>
        <v/>
      </c>
      <c r="T31" s="7" t="str">
        <f aca="false">IF(A31="","",IFERROR(VLOOKUP(A31,AutoEvidence!$A$2:$G$400,4,FALSE())&amp;"",""))</f>
        <v/>
      </c>
      <c r="U31" s="6"/>
      <c r="V31" s="6"/>
      <c r="W31" s="9"/>
      <c r="X31" s="6"/>
      <c r="Y31" s="6"/>
      <c r="Z31" s="9"/>
      <c r="AA31" s="15"/>
      <c r="AB31" s="13" t="str">
        <f aca="false">IF(M31="Gap",1,IF(M31="OK",0,""))</f>
        <v/>
      </c>
      <c r="AC31" s="16" t="str">
        <f aca="false">IF(P31&lt;&gt;"",VALUE(RIGHT(P31,1))*1000+ROW(),"")</f>
        <v/>
      </c>
      <c r="AD31" s="16" t="str">
        <f aca="false">IF(ISNUMBER(L31),MIN(L31,K31),"")</f>
        <v/>
      </c>
      <c r="AE31" s="16" t="str">
        <f aca="false">IF(AND(ISNUMBER(SEARCH(" PA "," "&amp;SUBSTITUTE($I31,","," ")&amp;" ")),ISNUMBER($L31)),$L31,"")</f>
        <v/>
      </c>
      <c r="AF31" s="16" t="str">
        <f aca="false">IF(AND(ISNUMBER(SEARCH(" PO "," "&amp;SUBSTITUTE($I31,","," ")&amp;" ")),ISNUMBER($L31)),$L31,"")</f>
        <v/>
      </c>
      <c r="AG31" s="16" t="str">
        <f aca="false">IF(AND(ISNUMBER(SEARCH(" MFA "," "&amp;SUBSTITUTE($I31,","," ")&amp;" ")),ISNUMBER($L31)),$L31,"")</f>
        <v/>
      </c>
      <c r="AH31" s="16" t="str">
        <f aca="false">IF(AND(ISNUMBER(SEARCH(" RAP "," "&amp;SUBSTITUTE($I31,","," ")&amp;" ")),ISNUMBER($L31)),$L31,"")</f>
        <v/>
      </c>
      <c r="AI31" s="16" t="str">
        <f aca="false">IF(AND(ISNUMBER(SEARCH(" AC "," "&amp;SUBSTITUTE($I31,","," ")&amp;" ")),ISNUMBER($L31)),$L31,"")</f>
        <v/>
      </c>
      <c r="AJ31" s="16" t="str">
        <f aca="false">IF(AND(ISNUMBER(SEARCH(" MAC "," "&amp;SUBSTITUTE($I31,","," ")&amp;" ")),ISNUMBER($L31)),$L31,"")</f>
        <v/>
      </c>
      <c r="AK31" s="16" t="str">
        <f aca="false">IF(AND(ISNUMBER(SEARCH(" UAH "," "&amp;SUBSTITUTE($I31,","," ")&amp;" ")),ISNUMBER($L31)),$L31,"")</f>
        <v/>
      </c>
      <c r="AL31" s="16" t="str">
        <f aca="false">IF(AND(ISNUMBER(SEARCH(" RB "," "&amp;SUBSTITUTE($I31,","," ")&amp;" ")),ISNUMBER($L31)),$L31,"")</f>
        <v/>
      </c>
    </row>
    <row r="32" customFormat="false" ht="42.75" hidden="false" customHeight="true" outlineLevel="0" collapsed="false">
      <c r="A32" s="4" t="s">
        <v>348</v>
      </c>
      <c r="B32" s="5" t="s">
        <v>341</v>
      </c>
      <c r="C32" s="5" t="s">
        <v>342</v>
      </c>
      <c r="D32" s="5" t="s">
        <v>349</v>
      </c>
      <c r="E32" s="5" t="s">
        <v>350</v>
      </c>
      <c r="F32" s="5" t="s">
        <v>351</v>
      </c>
      <c r="G32" s="5" t="s">
        <v>352</v>
      </c>
      <c r="H32" s="5" t="s">
        <v>353</v>
      </c>
      <c r="I32" s="13" t="s">
        <v>354</v>
      </c>
      <c r="J32" s="13" t="s">
        <v>48</v>
      </c>
      <c r="K32" s="9" t="n">
        <v>2</v>
      </c>
      <c r="L32" s="9"/>
      <c r="M32" s="13" t="str">
        <f aca="false">IF(ISNUMBER(L32),IF(L32&lt;K32,"Gap","OK"),IF(L32="N/A","N/A",""))</f>
        <v/>
      </c>
      <c r="N32" s="9"/>
      <c r="O32" s="9"/>
      <c r="P32" s="13" t="str">
        <f aca="false">IF(AND(M32="Gap",N32&lt;&gt;"",O32&lt;&gt;""),VLOOKUP(N32&amp;O32,Lists!$H$4:$I$12,2,FALSE()),"")</f>
        <v/>
      </c>
      <c r="Q32" s="13" t="str">
        <f aca="false">IF(AND(M32="Gap",O32="S",OR(N32="H",N32="M")),"Yes","")</f>
        <v/>
      </c>
      <c r="R32" s="9" t="s">
        <v>48</v>
      </c>
      <c r="S32" s="14" t="str">
        <f aca="false">IF(A32="","",IFERROR(IF(OR(VLOOKUP(A32,AutoEvidence!$A$2:$G$400,2,FALSE())="Collected",VLOOKUP(A32,AutoEvidence!$A$2:$G$400,2,FALSE())="Partial"),VLOOKUP(A32,AutoEvidence!$A$2:$G$400,3,FALSE())&amp;" ("&amp;VLOOKUP(A32,AutoEvidence!$A$2:$G$400,2,FALSE())&amp;")",VLOOKUP(A32,AutoEvidence!$A$2:$G$400,2,FALSE())),""))</f>
        <v/>
      </c>
      <c r="T32" s="7" t="str">
        <f aca="false">IF(A32="","",IFERROR(VLOOKUP(A32,AutoEvidence!$A$2:$G$400,4,FALSE())&amp;"",""))</f>
        <v/>
      </c>
      <c r="U32" s="6"/>
      <c r="V32" s="6"/>
      <c r="W32" s="9"/>
      <c r="X32" s="6"/>
      <c r="Y32" s="6"/>
      <c r="Z32" s="9"/>
      <c r="AA32" s="15"/>
      <c r="AB32" s="13" t="str">
        <f aca="false">IF(M32="Gap",1,IF(M32="OK",0,""))</f>
        <v/>
      </c>
      <c r="AC32" s="16" t="str">
        <f aca="false">IF(P32&lt;&gt;"",VALUE(RIGHT(P32,1))*1000+ROW(),"")</f>
        <v/>
      </c>
      <c r="AD32" s="16" t="str">
        <f aca="false">IF(ISNUMBER(L32),MIN(L32,K32),"")</f>
        <v/>
      </c>
      <c r="AE32" s="16" t="str">
        <f aca="false">IF(AND(ISNUMBER(SEARCH(" PA "," "&amp;SUBSTITUTE($I32,","," ")&amp;" ")),ISNUMBER($L32)),$L32,"")</f>
        <v/>
      </c>
      <c r="AF32" s="16" t="str">
        <f aca="false">IF(AND(ISNUMBER(SEARCH(" PO "," "&amp;SUBSTITUTE($I32,","," ")&amp;" ")),ISNUMBER($L32)),$L32,"")</f>
        <v/>
      </c>
      <c r="AG32" s="16" t="str">
        <f aca="false">IF(AND(ISNUMBER(SEARCH(" MFA "," "&amp;SUBSTITUTE($I32,","," ")&amp;" ")),ISNUMBER($L32)),$L32,"")</f>
        <v/>
      </c>
      <c r="AH32" s="16" t="str">
        <f aca="false">IF(AND(ISNUMBER(SEARCH(" RAP "," "&amp;SUBSTITUTE($I32,","," ")&amp;" ")),ISNUMBER($L32)),$L32,"")</f>
        <v/>
      </c>
      <c r="AI32" s="16" t="str">
        <f aca="false">IF(AND(ISNUMBER(SEARCH(" AC "," "&amp;SUBSTITUTE($I32,","," ")&amp;" ")),ISNUMBER($L32)),$L32,"")</f>
        <v/>
      </c>
      <c r="AJ32" s="16" t="str">
        <f aca="false">IF(AND(ISNUMBER(SEARCH(" MAC "," "&amp;SUBSTITUTE($I32,","," ")&amp;" ")),ISNUMBER($L32)),$L32,"")</f>
        <v/>
      </c>
      <c r="AK32" s="16" t="str">
        <f aca="false">IF(AND(ISNUMBER(SEARCH(" UAH "," "&amp;SUBSTITUTE($I32,","," ")&amp;" ")),ISNUMBER($L32)),$L32,"")</f>
        <v/>
      </c>
      <c r="AL32" s="16" t="str">
        <f aca="false">IF(AND(ISNUMBER(SEARCH(" RB "," "&amp;SUBSTITUTE($I32,","," ")&amp;" ")),ISNUMBER($L32)),$L32,"")</f>
        <v/>
      </c>
    </row>
    <row r="33" customFormat="false" ht="55.5" hidden="false" customHeight="true" outlineLevel="0" collapsed="false">
      <c r="A33" s="4" t="s">
        <v>355</v>
      </c>
      <c r="B33" s="5" t="s">
        <v>341</v>
      </c>
      <c r="C33" s="5" t="s">
        <v>342</v>
      </c>
      <c r="D33" s="5" t="s">
        <v>356</v>
      </c>
      <c r="E33" s="5" t="s">
        <v>357</v>
      </c>
      <c r="F33" s="5" t="s">
        <v>358</v>
      </c>
      <c r="G33" s="5" t="s">
        <v>359</v>
      </c>
      <c r="H33" s="5" t="s">
        <v>360</v>
      </c>
      <c r="I33" s="13" t="s">
        <v>354</v>
      </c>
      <c r="J33" s="13" t="s">
        <v>46</v>
      </c>
      <c r="K33" s="9" t="n">
        <v>2</v>
      </c>
      <c r="L33" s="9"/>
      <c r="M33" s="13" t="str">
        <f aca="false">IF(ISNUMBER(L33),IF(L33&lt;K33,"Gap","OK"),IF(L33="N/A","N/A",""))</f>
        <v/>
      </c>
      <c r="N33" s="9"/>
      <c r="O33" s="9"/>
      <c r="P33" s="13" t="str">
        <f aca="false">IF(AND(M33="Gap",N33&lt;&gt;"",O33&lt;&gt;""),VLOOKUP(N33&amp;O33,Lists!$H$4:$I$12,2,FALSE()),"")</f>
        <v/>
      </c>
      <c r="Q33" s="13" t="str">
        <f aca="false">IF(AND(M33="Gap",O33="S",OR(N33="H",N33="M")),"Yes","")</f>
        <v/>
      </c>
      <c r="R33" s="9" t="s">
        <v>46</v>
      </c>
      <c r="S33" s="14" t="str">
        <f aca="false">IF(A33="","",IFERROR(IF(OR(VLOOKUP(A33,AutoEvidence!$A$2:$G$400,2,FALSE())="Collected",VLOOKUP(A33,AutoEvidence!$A$2:$G$400,2,FALSE())="Partial"),VLOOKUP(A33,AutoEvidence!$A$2:$G$400,3,FALSE())&amp;" ("&amp;VLOOKUP(A33,AutoEvidence!$A$2:$G$400,2,FALSE())&amp;")",VLOOKUP(A33,AutoEvidence!$A$2:$G$400,2,FALSE())),""))</f>
        <v/>
      </c>
      <c r="T33" s="7" t="str">
        <f aca="false">IF(A33="","",IFERROR(VLOOKUP(A33,AutoEvidence!$A$2:$G$400,4,FALSE())&amp;"",""))</f>
        <v/>
      </c>
      <c r="U33" s="6"/>
      <c r="V33" s="6"/>
      <c r="W33" s="9"/>
      <c r="X33" s="6"/>
      <c r="Y33" s="6"/>
      <c r="Z33" s="9"/>
      <c r="AA33" s="15"/>
      <c r="AB33" s="13" t="str">
        <f aca="false">IF(M33="Gap",1,IF(M33="OK",0,""))</f>
        <v/>
      </c>
      <c r="AC33" s="16" t="str">
        <f aca="false">IF(P33&lt;&gt;"",VALUE(RIGHT(P33,1))*1000+ROW(),"")</f>
        <v/>
      </c>
      <c r="AD33" s="16" t="str">
        <f aca="false">IF(ISNUMBER(L33),MIN(L33,K33),"")</f>
        <v/>
      </c>
      <c r="AE33" s="16" t="str">
        <f aca="false">IF(AND(ISNUMBER(SEARCH(" PA "," "&amp;SUBSTITUTE($I33,","," ")&amp;" ")),ISNUMBER($L33)),$L33,"")</f>
        <v/>
      </c>
      <c r="AF33" s="16" t="str">
        <f aca="false">IF(AND(ISNUMBER(SEARCH(" PO "," "&amp;SUBSTITUTE($I33,","," ")&amp;" ")),ISNUMBER($L33)),$L33,"")</f>
        <v/>
      </c>
      <c r="AG33" s="16" t="str">
        <f aca="false">IF(AND(ISNUMBER(SEARCH(" MFA "," "&amp;SUBSTITUTE($I33,","," ")&amp;" ")),ISNUMBER($L33)),$L33,"")</f>
        <v/>
      </c>
      <c r="AH33" s="16" t="str">
        <f aca="false">IF(AND(ISNUMBER(SEARCH(" RAP "," "&amp;SUBSTITUTE($I33,","," ")&amp;" ")),ISNUMBER($L33)),$L33,"")</f>
        <v/>
      </c>
      <c r="AI33" s="16" t="str">
        <f aca="false">IF(AND(ISNUMBER(SEARCH(" AC "," "&amp;SUBSTITUTE($I33,","," ")&amp;" ")),ISNUMBER($L33)),$L33,"")</f>
        <v/>
      </c>
      <c r="AJ33" s="16" t="str">
        <f aca="false">IF(AND(ISNUMBER(SEARCH(" MAC "," "&amp;SUBSTITUTE($I33,","," ")&amp;" ")),ISNUMBER($L33)),$L33,"")</f>
        <v/>
      </c>
      <c r="AK33" s="16" t="str">
        <f aca="false">IF(AND(ISNUMBER(SEARCH(" UAH "," "&amp;SUBSTITUTE($I33,","," ")&amp;" ")),ISNUMBER($L33)),$L33,"")</f>
        <v/>
      </c>
      <c r="AL33" s="16" t="str">
        <f aca="false">IF(AND(ISNUMBER(SEARCH(" RB "," "&amp;SUBSTITUTE($I33,","," ")&amp;" ")),ISNUMBER($L33)),$L33,"")</f>
        <v/>
      </c>
    </row>
    <row r="34" customFormat="false" ht="69" hidden="false" customHeight="true" outlineLevel="0" collapsed="false">
      <c r="A34" s="4" t="s">
        <v>361</v>
      </c>
      <c r="B34" s="5" t="s">
        <v>341</v>
      </c>
      <c r="C34" s="5" t="s">
        <v>342</v>
      </c>
      <c r="D34" s="5" t="s">
        <v>362</v>
      </c>
      <c r="E34" s="5" t="s">
        <v>363</v>
      </c>
      <c r="F34" s="5" t="s">
        <v>364</v>
      </c>
      <c r="G34" s="5" t="s">
        <v>365</v>
      </c>
      <c r="H34" s="5" t="s">
        <v>366</v>
      </c>
      <c r="I34" s="13" t="s">
        <v>367</v>
      </c>
      <c r="J34" s="13" t="s">
        <v>46</v>
      </c>
      <c r="K34" s="9" t="n">
        <v>2</v>
      </c>
      <c r="L34" s="9"/>
      <c r="M34" s="13" t="str">
        <f aca="false">IF(ISNUMBER(L34),IF(L34&lt;K34,"Gap","OK"),IF(L34="N/A","N/A",""))</f>
        <v/>
      </c>
      <c r="N34" s="9"/>
      <c r="O34" s="9"/>
      <c r="P34" s="13" t="str">
        <f aca="false">IF(AND(M34="Gap",N34&lt;&gt;"",O34&lt;&gt;""),VLOOKUP(N34&amp;O34,Lists!$H$4:$I$12,2,FALSE()),"")</f>
        <v/>
      </c>
      <c r="Q34" s="13" t="str">
        <f aca="false">IF(AND(M34="Gap",O34="S",OR(N34="H",N34="M")),"Yes","")</f>
        <v/>
      </c>
      <c r="R34" s="9" t="s">
        <v>46</v>
      </c>
      <c r="S34" s="14" t="str">
        <f aca="false">IF(A34="","",IFERROR(IF(OR(VLOOKUP(A34,AutoEvidence!$A$2:$G$400,2,FALSE())="Collected",VLOOKUP(A34,AutoEvidence!$A$2:$G$400,2,FALSE())="Partial"),VLOOKUP(A34,AutoEvidence!$A$2:$G$400,3,FALSE())&amp;" ("&amp;VLOOKUP(A34,AutoEvidence!$A$2:$G$400,2,FALSE())&amp;")",VLOOKUP(A34,AutoEvidence!$A$2:$G$400,2,FALSE())),""))</f>
        <v/>
      </c>
      <c r="T34" s="7" t="str">
        <f aca="false">IF(A34="","",IFERROR(VLOOKUP(A34,AutoEvidence!$A$2:$G$400,4,FALSE())&amp;"",""))</f>
        <v/>
      </c>
      <c r="U34" s="6"/>
      <c r="V34" s="6"/>
      <c r="W34" s="9"/>
      <c r="X34" s="6"/>
      <c r="Y34" s="6"/>
      <c r="Z34" s="9"/>
      <c r="AA34" s="15"/>
      <c r="AB34" s="13" t="str">
        <f aca="false">IF(M34="Gap",1,IF(M34="OK",0,""))</f>
        <v/>
      </c>
      <c r="AC34" s="16" t="str">
        <f aca="false">IF(P34&lt;&gt;"",VALUE(RIGHT(P34,1))*1000+ROW(),"")</f>
        <v/>
      </c>
      <c r="AD34" s="16" t="str">
        <f aca="false">IF(ISNUMBER(L34),MIN(L34,K34),"")</f>
        <v/>
      </c>
      <c r="AE34" s="16" t="str">
        <f aca="false">IF(AND(ISNUMBER(SEARCH(" PA "," "&amp;SUBSTITUTE($I34,","," ")&amp;" ")),ISNUMBER($L34)),$L34,"")</f>
        <v/>
      </c>
      <c r="AF34" s="16" t="str">
        <f aca="false">IF(AND(ISNUMBER(SEARCH(" PO "," "&amp;SUBSTITUTE($I34,","," ")&amp;" ")),ISNUMBER($L34)),$L34,"")</f>
        <v/>
      </c>
      <c r="AG34" s="16" t="str">
        <f aca="false">IF(AND(ISNUMBER(SEARCH(" MFA "," "&amp;SUBSTITUTE($I34,","," ")&amp;" ")),ISNUMBER($L34)),$L34,"")</f>
        <v/>
      </c>
      <c r="AH34" s="16" t="str">
        <f aca="false">IF(AND(ISNUMBER(SEARCH(" RAP "," "&amp;SUBSTITUTE($I34,","," ")&amp;" ")),ISNUMBER($L34)),$L34,"")</f>
        <v/>
      </c>
      <c r="AI34" s="16" t="str">
        <f aca="false">IF(AND(ISNUMBER(SEARCH(" AC "," "&amp;SUBSTITUTE($I34,","," ")&amp;" ")),ISNUMBER($L34)),$L34,"")</f>
        <v/>
      </c>
      <c r="AJ34" s="16" t="str">
        <f aca="false">IF(AND(ISNUMBER(SEARCH(" MAC "," "&amp;SUBSTITUTE($I34,","," ")&amp;" ")),ISNUMBER($L34)),$L34,"")</f>
        <v/>
      </c>
      <c r="AK34" s="16" t="str">
        <f aca="false">IF(AND(ISNUMBER(SEARCH(" UAH "," "&amp;SUBSTITUTE($I34,","," ")&amp;" ")),ISNUMBER($L34)),$L34,"")</f>
        <v/>
      </c>
      <c r="AL34" s="16" t="str">
        <f aca="false">IF(AND(ISNUMBER(SEARCH(" RB "," "&amp;SUBSTITUTE($I34,","," ")&amp;" ")),ISNUMBER($L34)),$L34,"")</f>
        <v/>
      </c>
    </row>
    <row r="35" customFormat="false" ht="55.5" hidden="false" customHeight="true" outlineLevel="0" collapsed="false">
      <c r="A35" s="4" t="s">
        <v>368</v>
      </c>
      <c r="B35" s="5" t="s">
        <v>341</v>
      </c>
      <c r="C35" s="5" t="s">
        <v>342</v>
      </c>
      <c r="D35" s="5" t="s">
        <v>369</v>
      </c>
      <c r="E35" s="5" t="s">
        <v>370</v>
      </c>
      <c r="F35" s="5" t="s">
        <v>371</v>
      </c>
      <c r="G35" s="5" t="s">
        <v>372</v>
      </c>
      <c r="H35" s="5" t="s">
        <v>373</v>
      </c>
      <c r="I35" s="13" t="s">
        <v>296</v>
      </c>
      <c r="J35" s="13" t="s">
        <v>48</v>
      </c>
      <c r="K35" s="9" t="n">
        <v>2</v>
      </c>
      <c r="L35" s="9"/>
      <c r="M35" s="13" t="str">
        <f aca="false">IF(ISNUMBER(L35),IF(L35&lt;K35,"Gap","OK"),IF(L35="N/A","N/A",""))</f>
        <v/>
      </c>
      <c r="N35" s="9"/>
      <c r="O35" s="9"/>
      <c r="P35" s="13" t="str">
        <f aca="false">IF(AND(M35="Gap",N35&lt;&gt;"",O35&lt;&gt;""),VLOOKUP(N35&amp;O35,Lists!$H$4:$I$12,2,FALSE()),"")</f>
        <v/>
      </c>
      <c r="Q35" s="13" t="str">
        <f aca="false">IF(AND(M35="Gap",O35="S",OR(N35="H",N35="M")),"Yes","")</f>
        <v/>
      </c>
      <c r="R35" s="9" t="s">
        <v>48</v>
      </c>
      <c r="S35" s="14" t="str">
        <f aca="false">IF(A35="","",IFERROR(IF(OR(VLOOKUP(A35,AutoEvidence!$A$2:$G$400,2,FALSE())="Collected",VLOOKUP(A35,AutoEvidence!$A$2:$G$400,2,FALSE())="Partial"),VLOOKUP(A35,AutoEvidence!$A$2:$G$400,3,FALSE())&amp;" ("&amp;VLOOKUP(A35,AutoEvidence!$A$2:$G$400,2,FALSE())&amp;")",VLOOKUP(A35,AutoEvidence!$A$2:$G$400,2,FALSE())),""))</f>
        <v/>
      </c>
      <c r="T35" s="7" t="str">
        <f aca="false">IF(A35="","",IFERROR(VLOOKUP(A35,AutoEvidence!$A$2:$G$400,4,FALSE())&amp;"",""))</f>
        <v/>
      </c>
      <c r="U35" s="6"/>
      <c r="V35" s="6"/>
      <c r="W35" s="9"/>
      <c r="X35" s="6"/>
      <c r="Y35" s="6"/>
      <c r="Z35" s="9"/>
      <c r="AA35" s="15"/>
      <c r="AB35" s="13" t="str">
        <f aca="false">IF(M35="Gap",1,IF(M35="OK",0,""))</f>
        <v/>
      </c>
      <c r="AC35" s="16" t="str">
        <f aca="false">IF(P35&lt;&gt;"",VALUE(RIGHT(P35,1))*1000+ROW(),"")</f>
        <v/>
      </c>
      <c r="AD35" s="16" t="str">
        <f aca="false">IF(ISNUMBER(L35),MIN(L35,K35),"")</f>
        <v/>
      </c>
      <c r="AE35" s="16" t="str">
        <f aca="false">IF(AND(ISNUMBER(SEARCH(" PA "," "&amp;SUBSTITUTE($I35,","," ")&amp;" ")),ISNUMBER($L35)),$L35,"")</f>
        <v/>
      </c>
      <c r="AF35" s="16" t="str">
        <f aca="false">IF(AND(ISNUMBER(SEARCH(" PO "," "&amp;SUBSTITUTE($I35,","," ")&amp;" ")),ISNUMBER($L35)),$L35,"")</f>
        <v/>
      </c>
      <c r="AG35" s="16" t="str">
        <f aca="false">IF(AND(ISNUMBER(SEARCH(" MFA "," "&amp;SUBSTITUTE($I35,","," ")&amp;" ")),ISNUMBER($L35)),$L35,"")</f>
        <v/>
      </c>
      <c r="AH35" s="16" t="str">
        <f aca="false">IF(AND(ISNUMBER(SEARCH(" RAP "," "&amp;SUBSTITUTE($I35,","," ")&amp;" ")),ISNUMBER($L35)),$L35,"")</f>
        <v/>
      </c>
      <c r="AI35" s="16" t="str">
        <f aca="false">IF(AND(ISNUMBER(SEARCH(" AC "," "&amp;SUBSTITUTE($I35,","," ")&amp;" ")),ISNUMBER($L35)),$L35,"")</f>
        <v/>
      </c>
      <c r="AJ35" s="16" t="str">
        <f aca="false">IF(AND(ISNUMBER(SEARCH(" MAC "," "&amp;SUBSTITUTE($I35,","," ")&amp;" ")),ISNUMBER($L35)),$L35,"")</f>
        <v/>
      </c>
      <c r="AK35" s="16" t="str">
        <f aca="false">IF(AND(ISNUMBER(SEARCH(" UAH "," "&amp;SUBSTITUTE($I35,","," ")&amp;" ")),ISNUMBER($L35)),$L35,"")</f>
        <v/>
      </c>
      <c r="AL35" s="16" t="str">
        <f aca="false">IF(AND(ISNUMBER(SEARCH(" RB "," "&amp;SUBSTITUTE($I35,","," ")&amp;" ")),ISNUMBER($L35)),$L35,"")</f>
        <v/>
      </c>
    </row>
    <row r="36" customFormat="false" ht="69" hidden="false" customHeight="true" outlineLevel="0" collapsed="false">
      <c r="A36" s="4" t="s">
        <v>374</v>
      </c>
      <c r="B36" s="5" t="s">
        <v>341</v>
      </c>
      <c r="C36" s="5" t="s">
        <v>342</v>
      </c>
      <c r="D36" s="5" t="s">
        <v>375</v>
      </c>
      <c r="E36" s="5" t="s">
        <v>376</v>
      </c>
      <c r="F36" s="5" t="s">
        <v>377</v>
      </c>
      <c r="G36" s="5" t="s">
        <v>378</v>
      </c>
      <c r="H36" s="5" t="s">
        <v>379</v>
      </c>
      <c r="I36" s="13"/>
      <c r="J36" s="13" t="s">
        <v>46</v>
      </c>
      <c r="K36" s="9" t="n">
        <v>2</v>
      </c>
      <c r="L36" s="9"/>
      <c r="M36" s="13" t="str">
        <f aca="false">IF(ISNUMBER(L36),IF(L36&lt;K36,"Gap","OK"),IF(L36="N/A","N/A",""))</f>
        <v/>
      </c>
      <c r="N36" s="9"/>
      <c r="O36" s="9"/>
      <c r="P36" s="13" t="str">
        <f aca="false">IF(AND(M36="Gap",N36&lt;&gt;"",O36&lt;&gt;""),VLOOKUP(N36&amp;O36,Lists!$H$4:$I$12,2,FALSE()),"")</f>
        <v/>
      </c>
      <c r="Q36" s="13" t="str">
        <f aca="false">IF(AND(M36="Gap",O36="S",OR(N36="H",N36="M")),"Yes","")</f>
        <v/>
      </c>
      <c r="R36" s="9" t="s">
        <v>46</v>
      </c>
      <c r="S36" s="14" t="str">
        <f aca="false">IF(A36="","",IFERROR(IF(OR(VLOOKUP(A36,AutoEvidence!$A$2:$G$400,2,FALSE())="Collected",VLOOKUP(A36,AutoEvidence!$A$2:$G$400,2,FALSE())="Partial"),VLOOKUP(A36,AutoEvidence!$A$2:$G$400,3,FALSE())&amp;" ("&amp;VLOOKUP(A36,AutoEvidence!$A$2:$G$400,2,FALSE())&amp;")",VLOOKUP(A36,AutoEvidence!$A$2:$G$400,2,FALSE())),""))</f>
        <v/>
      </c>
      <c r="T36" s="7" t="str">
        <f aca="false">IF(A36="","",IFERROR(VLOOKUP(A36,AutoEvidence!$A$2:$G$400,4,FALSE())&amp;"",""))</f>
        <v/>
      </c>
      <c r="U36" s="6"/>
      <c r="V36" s="6"/>
      <c r="W36" s="9"/>
      <c r="X36" s="6"/>
      <c r="Y36" s="6"/>
      <c r="Z36" s="9"/>
      <c r="AA36" s="15"/>
      <c r="AB36" s="13" t="str">
        <f aca="false">IF(M36="Gap",1,IF(M36="OK",0,""))</f>
        <v/>
      </c>
      <c r="AC36" s="16" t="str">
        <f aca="false">IF(P36&lt;&gt;"",VALUE(RIGHT(P36,1))*1000+ROW(),"")</f>
        <v/>
      </c>
      <c r="AD36" s="16" t="str">
        <f aca="false">IF(ISNUMBER(L36),MIN(L36,K36),"")</f>
        <v/>
      </c>
      <c r="AE36" s="16" t="str">
        <f aca="false">IF(AND(ISNUMBER(SEARCH(" PA "," "&amp;SUBSTITUTE($I36,","," ")&amp;" ")),ISNUMBER($L36)),$L36,"")</f>
        <v/>
      </c>
      <c r="AF36" s="16" t="str">
        <f aca="false">IF(AND(ISNUMBER(SEARCH(" PO "," "&amp;SUBSTITUTE($I36,","," ")&amp;" ")),ISNUMBER($L36)),$L36,"")</f>
        <v/>
      </c>
      <c r="AG36" s="16" t="str">
        <f aca="false">IF(AND(ISNUMBER(SEARCH(" MFA "," "&amp;SUBSTITUTE($I36,","," ")&amp;" ")),ISNUMBER($L36)),$L36,"")</f>
        <v/>
      </c>
      <c r="AH36" s="16" t="str">
        <f aca="false">IF(AND(ISNUMBER(SEARCH(" RAP "," "&amp;SUBSTITUTE($I36,","," ")&amp;" ")),ISNUMBER($L36)),$L36,"")</f>
        <v/>
      </c>
      <c r="AI36" s="16" t="str">
        <f aca="false">IF(AND(ISNUMBER(SEARCH(" AC "," "&amp;SUBSTITUTE($I36,","," ")&amp;" ")),ISNUMBER($L36)),$L36,"")</f>
        <v/>
      </c>
      <c r="AJ36" s="16" t="str">
        <f aca="false">IF(AND(ISNUMBER(SEARCH(" MAC "," "&amp;SUBSTITUTE($I36,","," ")&amp;" ")),ISNUMBER($L36)),$L36,"")</f>
        <v/>
      </c>
      <c r="AK36" s="16" t="str">
        <f aca="false">IF(AND(ISNUMBER(SEARCH(" UAH "," "&amp;SUBSTITUTE($I36,","," ")&amp;" ")),ISNUMBER($L36)),$L36,"")</f>
        <v/>
      </c>
      <c r="AL36" s="16" t="str">
        <f aca="false">IF(AND(ISNUMBER(SEARCH(" RB "," "&amp;SUBSTITUTE($I36,","," ")&amp;" ")),ISNUMBER($L36)),$L36,"")</f>
        <v/>
      </c>
    </row>
    <row r="37" customFormat="false" ht="42.75" hidden="false" customHeight="true" outlineLevel="0" collapsed="false">
      <c r="A37" s="4" t="s">
        <v>380</v>
      </c>
      <c r="B37" s="5" t="s">
        <v>341</v>
      </c>
      <c r="C37" s="5" t="s">
        <v>342</v>
      </c>
      <c r="D37" s="5" t="s">
        <v>381</v>
      </c>
      <c r="E37" s="5" t="s">
        <v>382</v>
      </c>
      <c r="F37" s="5" t="s">
        <v>383</v>
      </c>
      <c r="G37" s="5" t="s">
        <v>384</v>
      </c>
      <c r="H37" s="5" t="s">
        <v>385</v>
      </c>
      <c r="I37" s="13"/>
      <c r="J37" s="13" t="s">
        <v>46</v>
      </c>
      <c r="K37" s="9" t="n">
        <v>2</v>
      </c>
      <c r="L37" s="9"/>
      <c r="M37" s="13" t="str">
        <f aca="false">IF(ISNUMBER(L37),IF(L37&lt;K37,"Gap","OK"),IF(L37="N/A","N/A",""))</f>
        <v/>
      </c>
      <c r="N37" s="9"/>
      <c r="O37" s="9"/>
      <c r="P37" s="13" t="str">
        <f aca="false">IF(AND(M37="Gap",N37&lt;&gt;"",O37&lt;&gt;""),VLOOKUP(N37&amp;O37,Lists!$H$4:$I$12,2,FALSE()),"")</f>
        <v/>
      </c>
      <c r="Q37" s="13" t="str">
        <f aca="false">IF(AND(M37="Gap",O37="S",OR(N37="H",N37="M")),"Yes","")</f>
        <v/>
      </c>
      <c r="R37" s="9" t="s">
        <v>46</v>
      </c>
      <c r="S37" s="14" t="str">
        <f aca="false">IF(A37="","",IFERROR(IF(OR(VLOOKUP(A37,AutoEvidence!$A$2:$G$400,2,FALSE())="Collected",VLOOKUP(A37,AutoEvidence!$A$2:$G$400,2,FALSE())="Partial"),VLOOKUP(A37,AutoEvidence!$A$2:$G$400,3,FALSE())&amp;" ("&amp;VLOOKUP(A37,AutoEvidence!$A$2:$G$400,2,FALSE())&amp;")",VLOOKUP(A37,AutoEvidence!$A$2:$G$400,2,FALSE())),""))</f>
        <v/>
      </c>
      <c r="T37" s="7" t="str">
        <f aca="false">IF(A37="","",IFERROR(VLOOKUP(A37,AutoEvidence!$A$2:$G$400,4,FALSE())&amp;"",""))</f>
        <v/>
      </c>
      <c r="U37" s="6"/>
      <c r="V37" s="6"/>
      <c r="W37" s="9"/>
      <c r="X37" s="6"/>
      <c r="Y37" s="6"/>
      <c r="Z37" s="9"/>
      <c r="AA37" s="15"/>
      <c r="AB37" s="13" t="str">
        <f aca="false">IF(M37="Gap",1,IF(M37="OK",0,""))</f>
        <v/>
      </c>
      <c r="AC37" s="16" t="str">
        <f aca="false">IF(P37&lt;&gt;"",VALUE(RIGHT(P37,1))*1000+ROW(),"")</f>
        <v/>
      </c>
      <c r="AD37" s="16" t="str">
        <f aca="false">IF(ISNUMBER(L37),MIN(L37,K37),"")</f>
        <v/>
      </c>
      <c r="AE37" s="16" t="str">
        <f aca="false">IF(AND(ISNUMBER(SEARCH(" PA "," "&amp;SUBSTITUTE($I37,","," ")&amp;" ")),ISNUMBER($L37)),$L37,"")</f>
        <v/>
      </c>
      <c r="AF37" s="16" t="str">
        <f aca="false">IF(AND(ISNUMBER(SEARCH(" PO "," "&amp;SUBSTITUTE($I37,","," ")&amp;" ")),ISNUMBER($L37)),$L37,"")</f>
        <v/>
      </c>
      <c r="AG37" s="16" t="str">
        <f aca="false">IF(AND(ISNUMBER(SEARCH(" MFA "," "&amp;SUBSTITUTE($I37,","," ")&amp;" ")),ISNUMBER($L37)),$L37,"")</f>
        <v/>
      </c>
      <c r="AH37" s="16" t="str">
        <f aca="false">IF(AND(ISNUMBER(SEARCH(" RAP "," "&amp;SUBSTITUTE($I37,","," ")&amp;" ")),ISNUMBER($L37)),$L37,"")</f>
        <v/>
      </c>
      <c r="AI37" s="16" t="str">
        <f aca="false">IF(AND(ISNUMBER(SEARCH(" AC "," "&amp;SUBSTITUTE($I37,","," ")&amp;" ")),ISNUMBER($L37)),$L37,"")</f>
        <v/>
      </c>
      <c r="AJ37" s="16" t="str">
        <f aca="false">IF(AND(ISNUMBER(SEARCH(" MAC "," "&amp;SUBSTITUTE($I37,","," ")&amp;" ")),ISNUMBER($L37)),$L37,"")</f>
        <v/>
      </c>
      <c r="AK37" s="16" t="str">
        <f aca="false">IF(AND(ISNUMBER(SEARCH(" UAH "," "&amp;SUBSTITUTE($I37,","," ")&amp;" ")),ISNUMBER($L37)),$L37,"")</f>
        <v/>
      </c>
      <c r="AL37" s="16" t="str">
        <f aca="false">IF(AND(ISNUMBER(SEARCH(" RB "," "&amp;SUBSTITUTE($I37,","," ")&amp;" ")),ISNUMBER($L37)),$L37,"")</f>
        <v/>
      </c>
    </row>
    <row r="38" customFormat="false" ht="55.5" hidden="false" customHeight="true" outlineLevel="0" collapsed="false">
      <c r="A38" s="4" t="s">
        <v>386</v>
      </c>
      <c r="B38" s="5" t="s">
        <v>341</v>
      </c>
      <c r="C38" s="5" t="s">
        <v>342</v>
      </c>
      <c r="D38" s="5" t="s">
        <v>387</v>
      </c>
      <c r="E38" s="5" t="s">
        <v>388</v>
      </c>
      <c r="F38" s="5" t="s">
        <v>389</v>
      </c>
      <c r="G38" s="5" t="s">
        <v>390</v>
      </c>
      <c r="H38" s="5" t="s">
        <v>391</v>
      </c>
      <c r="I38" s="13" t="s">
        <v>208</v>
      </c>
      <c r="J38" s="13" t="s">
        <v>46</v>
      </c>
      <c r="K38" s="9" t="n">
        <v>2</v>
      </c>
      <c r="L38" s="9"/>
      <c r="M38" s="13" t="str">
        <f aca="false">IF(ISNUMBER(L38),IF(L38&lt;K38,"Gap","OK"),IF(L38="N/A","N/A",""))</f>
        <v/>
      </c>
      <c r="N38" s="9"/>
      <c r="O38" s="9"/>
      <c r="P38" s="13" t="str">
        <f aca="false">IF(AND(M38="Gap",N38&lt;&gt;"",O38&lt;&gt;""),VLOOKUP(N38&amp;O38,Lists!$H$4:$I$12,2,FALSE()),"")</f>
        <v/>
      </c>
      <c r="Q38" s="13" t="str">
        <f aca="false">IF(AND(M38="Gap",O38="S",OR(N38="H",N38="M")),"Yes","")</f>
        <v/>
      </c>
      <c r="R38" s="9" t="s">
        <v>46</v>
      </c>
      <c r="S38" s="14" t="str">
        <f aca="false">IF(A38="","",IFERROR(IF(OR(VLOOKUP(A38,AutoEvidence!$A$2:$G$400,2,FALSE())="Collected",VLOOKUP(A38,AutoEvidence!$A$2:$G$400,2,FALSE())="Partial"),VLOOKUP(A38,AutoEvidence!$A$2:$G$400,3,FALSE())&amp;" ("&amp;VLOOKUP(A38,AutoEvidence!$A$2:$G$400,2,FALSE())&amp;")",VLOOKUP(A38,AutoEvidence!$A$2:$G$400,2,FALSE())),""))</f>
        <v/>
      </c>
      <c r="T38" s="7" t="str">
        <f aca="false">IF(A38="","",IFERROR(VLOOKUP(A38,AutoEvidence!$A$2:$G$400,4,FALSE())&amp;"",""))</f>
        <v/>
      </c>
      <c r="U38" s="6"/>
      <c r="V38" s="6"/>
      <c r="W38" s="9"/>
      <c r="X38" s="6"/>
      <c r="Y38" s="6"/>
      <c r="Z38" s="9"/>
      <c r="AA38" s="15"/>
      <c r="AB38" s="13" t="str">
        <f aca="false">IF(M38="Gap",1,IF(M38="OK",0,""))</f>
        <v/>
      </c>
      <c r="AC38" s="16" t="str">
        <f aca="false">IF(P38&lt;&gt;"",VALUE(RIGHT(P38,1))*1000+ROW(),"")</f>
        <v/>
      </c>
      <c r="AD38" s="16" t="str">
        <f aca="false">IF(ISNUMBER(L38),MIN(L38,K38),"")</f>
        <v/>
      </c>
      <c r="AE38" s="16" t="str">
        <f aca="false">IF(AND(ISNUMBER(SEARCH(" PA "," "&amp;SUBSTITUTE($I38,","," ")&amp;" ")),ISNUMBER($L38)),$L38,"")</f>
        <v/>
      </c>
      <c r="AF38" s="16" t="str">
        <f aca="false">IF(AND(ISNUMBER(SEARCH(" PO "," "&amp;SUBSTITUTE($I38,","," ")&amp;" ")),ISNUMBER($L38)),$L38,"")</f>
        <v/>
      </c>
      <c r="AG38" s="16" t="str">
        <f aca="false">IF(AND(ISNUMBER(SEARCH(" MFA "," "&amp;SUBSTITUTE($I38,","," ")&amp;" ")),ISNUMBER($L38)),$L38,"")</f>
        <v/>
      </c>
      <c r="AH38" s="16" t="str">
        <f aca="false">IF(AND(ISNUMBER(SEARCH(" RAP "," "&amp;SUBSTITUTE($I38,","," ")&amp;" ")),ISNUMBER($L38)),$L38,"")</f>
        <v/>
      </c>
      <c r="AI38" s="16" t="str">
        <f aca="false">IF(AND(ISNUMBER(SEARCH(" AC "," "&amp;SUBSTITUTE($I38,","," ")&amp;" ")),ISNUMBER($L38)),$L38,"")</f>
        <v/>
      </c>
      <c r="AJ38" s="16" t="str">
        <f aca="false">IF(AND(ISNUMBER(SEARCH(" MAC "," "&amp;SUBSTITUTE($I38,","," ")&amp;" ")),ISNUMBER($L38)),$L38,"")</f>
        <v/>
      </c>
      <c r="AK38" s="16" t="str">
        <f aca="false">IF(AND(ISNUMBER(SEARCH(" UAH "," "&amp;SUBSTITUTE($I38,","," ")&amp;" ")),ISNUMBER($L38)),$L38,"")</f>
        <v/>
      </c>
      <c r="AL38" s="16" t="str">
        <f aca="false">IF(AND(ISNUMBER(SEARCH(" RB "," "&amp;SUBSTITUTE($I38,","," ")&amp;" ")),ISNUMBER($L38)),$L38,"")</f>
        <v/>
      </c>
    </row>
    <row r="39" customFormat="false" ht="55.5" hidden="false" customHeight="true" outlineLevel="0" collapsed="false">
      <c r="A39" s="4" t="s">
        <v>392</v>
      </c>
      <c r="B39" s="5" t="s">
        <v>341</v>
      </c>
      <c r="C39" s="5" t="s">
        <v>342</v>
      </c>
      <c r="D39" s="5" t="s">
        <v>393</v>
      </c>
      <c r="E39" s="5" t="s">
        <v>394</v>
      </c>
      <c r="F39" s="5" t="s">
        <v>395</v>
      </c>
      <c r="G39" s="5" t="s">
        <v>396</v>
      </c>
      <c r="H39" s="5" t="s">
        <v>397</v>
      </c>
      <c r="I39" s="13" t="s">
        <v>398</v>
      </c>
      <c r="J39" s="13" t="s">
        <v>48</v>
      </c>
      <c r="K39" s="9" t="n">
        <v>2</v>
      </c>
      <c r="L39" s="9"/>
      <c r="M39" s="13" t="str">
        <f aca="false">IF(ISNUMBER(L39),IF(L39&lt;K39,"Gap","OK"),IF(L39="N/A","N/A",""))</f>
        <v/>
      </c>
      <c r="N39" s="9"/>
      <c r="O39" s="9"/>
      <c r="P39" s="13" t="str">
        <f aca="false">IF(AND(M39="Gap",N39&lt;&gt;"",O39&lt;&gt;""),VLOOKUP(N39&amp;O39,Lists!$H$4:$I$12,2,FALSE()),"")</f>
        <v/>
      </c>
      <c r="Q39" s="13" t="str">
        <f aca="false">IF(AND(M39="Gap",O39="S",OR(N39="H",N39="M")),"Yes","")</f>
        <v/>
      </c>
      <c r="R39" s="9" t="s">
        <v>48</v>
      </c>
      <c r="S39" s="14" t="str">
        <f aca="false">IF(A39="","",IFERROR(IF(OR(VLOOKUP(A39,AutoEvidence!$A$2:$G$400,2,FALSE())="Collected",VLOOKUP(A39,AutoEvidence!$A$2:$G$400,2,FALSE())="Partial"),VLOOKUP(A39,AutoEvidence!$A$2:$G$400,3,FALSE())&amp;" ("&amp;VLOOKUP(A39,AutoEvidence!$A$2:$G$400,2,FALSE())&amp;")",VLOOKUP(A39,AutoEvidence!$A$2:$G$400,2,FALSE())),""))</f>
        <v/>
      </c>
      <c r="T39" s="7" t="str">
        <f aca="false">IF(A39="","",IFERROR(VLOOKUP(A39,AutoEvidence!$A$2:$G$400,4,FALSE())&amp;"",""))</f>
        <v/>
      </c>
      <c r="U39" s="6"/>
      <c r="V39" s="6"/>
      <c r="W39" s="9"/>
      <c r="X39" s="6"/>
      <c r="Y39" s="6"/>
      <c r="Z39" s="9"/>
      <c r="AA39" s="15"/>
      <c r="AB39" s="13" t="str">
        <f aca="false">IF(M39="Gap",1,IF(M39="OK",0,""))</f>
        <v/>
      </c>
      <c r="AC39" s="16" t="str">
        <f aca="false">IF(P39&lt;&gt;"",VALUE(RIGHT(P39,1))*1000+ROW(),"")</f>
        <v/>
      </c>
      <c r="AD39" s="16" t="str">
        <f aca="false">IF(ISNUMBER(L39),MIN(L39,K39),"")</f>
        <v/>
      </c>
      <c r="AE39" s="16" t="str">
        <f aca="false">IF(AND(ISNUMBER(SEARCH(" PA "," "&amp;SUBSTITUTE($I39,","," ")&amp;" ")),ISNUMBER($L39)),$L39,"")</f>
        <v/>
      </c>
      <c r="AF39" s="16" t="str">
        <f aca="false">IF(AND(ISNUMBER(SEARCH(" PO "," "&amp;SUBSTITUTE($I39,","," ")&amp;" ")),ISNUMBER($L39)),$L39,"")</f>
        <v/>
      </c>
      <c r="AG39" s="16" t="str">
        <f aca="false">IF(AND(ISNUMBER(SEARCH(" MFA "," "&amp;SUBSTITUTE($I39,","," ")&amp;" ")),ISNUMBER($L39)),$L39,"")</f>
        <v/>
      </c>
      <c r="AH39" s="16" t="str">
        <f aca="false">IF(AND(ISNUMBER(SEARCH(" RAP "," "&amp;SUBSTITUTE($I39,","," ")&amp;" ")),ISNUMBER($L39)),$L39,"")</f>
        <v/>
      </c>
      <c r="AI39" s="16" t="str">
        <f aca="false">IF(AND(ISNUMBER(SEARCH(" AC "," "&amp;SUBSTITUTE($I39,","," ")&amp;" ")),ISNUMBER($L39)),$L39,"")</f>
        <v/>
      </c>
      <c r="AJ39" s="16" t="str">
        <f aca="false">IF(AND(ISNUMBER(SEARCH(" MAC "," "&amp;SUBSTITUTE($I39,","," ")&amp;" ")),ISNUMBER($L39)),$L39,"")</f>
        <v/>
      </c>
      <c r="AK39" s="16" t="str">
        <f aca="false">IF(AND(ISNUMBER(SEARCH(" UAH "," "&amp;SUBSTITUTE($I39,","," ")&amp;" ")),ISNUMBER($L39)),$L39,"")</f>
        <v/>
      </c>
      <c r="AL39" s="16" t="str">
        <f aca="false">IF(AND(ISNUMBER(SEARCH(" RB "," "&amp;SUBSTITUTE($I39,","," ")&amp;" ")),ISNUMBER($L39)),$L39,"")</f>
        <v/>
      </c>
    </row>
    <row r="40" customFormat="false" ht="69" hidden="false" customHeight="true" outlineLevel="0" collapsed="false">
      <c r="A40" s="4" t="s">
        <v>399</v>
      </c>
      <c r="B40" s="5" t="s">
        <v>341</v>
      </c>
      <c r="C40" s="5" t="s">
        <v>342</v>
      </c>
      <c r="D40" s="5" t="s">
        <v>400</v>
      </c>
      <c r="E40" s="5" t="s">
        <v>401</v>
      </c>
      <c r="F40" s="5" t="s">
        <v>402</v>
      </c>
      <c r="G40" s="5" t="s">
        <v>403</v>
      </c>
      <c r="H40" s="5" t="s">
        <v>404</v>
      </c>
      <c r="I40" s="13" t="s">
        <v>405</v>
      </c>
      <c r="J40" s="13" t="s">
        <v>50</v>
      </c>
      <c r="K40" s="9" t="n">
        <v>2</v>
      </c>
      <c r="L40" s="9"/>
      <c r="M40" s="13" t="str">
        <f aca="false">IF(ISNUMBER(L40),IF(L40&lt;K40,"Gap","OK"),IF(L40="N/A","N/A",""))</f>
        <v/>
      </c>
      <c r="N40" s="9"/>
      <c r="O40" s="9"/>
      <c r="P40" s="13" t="str">
        <f aca="false">IF(AND(M40="Gap",N40&lt;&gt;"",O40&lt;&gt;""),VLOOKUP(N40&amp;O40,Lists!$H$4:$I$12,2,FALSE()),"")</f>
        <v/>
      </c>
      <c r="Q40" s="13" t="str">
        <f aca="false">IF(AND(M40="Gap",O40="S",OR(N40="H",N40="M")),"Yes","")</f>
        <v/>
      </c>
      <c r="R40" s="9" t="s">
        <v>50</v>
      </c>
      <c r="S40" s="14" t="str">
        <f aca="false">IF(A40="","",IFERROR(IF(OR(VLOOKUP(A40,AutoEvidence!$A$2:$G$400,2,FALSE())="Collected",VLOOKUP(A40,AutoEvidence!$A$2:$G$400,2,FALSE())="Partial"),VLOOKUP(A40,AutoEvidence!$A$2:$G$400,3,FALSE())&amp;" ("&amp;VLOOKUP(A40,AutoEvidence!$A$2:$G$400,2,FALSE())&amp;")",VLOOKUP(A40,AutoEvidence!$A$2:$G$400,2,FALSE())),""))</f>
        <v/>
      </c>
      <c r="T40" s="7" t="str">
        <f aca="false">IF(A40="","",IFERROR(VLOOKUP(A40,AutoEvidence!$A$2:$G$400,4,FALSE())&amp;"",""))</f>
        <v/>
      </c>
      <c r="U40" s="6"/>
      <c r="V40" s="6"/>
      <c r="W40" s="9"/>
      <c r="X40" s="6"/>
      <c r="Y40" s="6"/>
      <c r="Z40" s="9"/>
      <c r="AA40" s="15"/>
      <c r="AB40" s="13" t="str">
        <f aca="false">IF(M40="Gap",1,IF(M40="OK",0,""))</f>
        <v/>
      </c>
      <c r="AC40" s="16" t="str">
        <f aca="false">IF(P40&lt;&gt;"",VALUE(RIGHT(P40,1))*1000+ROW(),"")</f>
        <v/>
      </c>
      <c r="AD40" s="16" t="str">
        <f aca="false">IF(ISNUMBER(L40),MIN(L40,K40),"")</f>
        <v/>
      </c>
      <c r="AE40" s="16" t="str">
        <f aca="false">IF(AND(ISNUMBER(SEARCH(" PA "," "&amp;SUBSTITUTE($I40,","," ")&amp;" ")),ISNUMBER($L40)),$L40,"")</f>
        <v/>
      </c>
      <c r="AF40" s="16" t="str">
        <f aca="false">IF(AND(ISNUMBER(SEARCH(" PO "," "&amp;SUBSTITUTE($I40,","," ")&amp;" ")),ISNUMBER($L40)),$L40,"")</f>
        <v/>
      </c>
      <c r="AG40" s="16" t="str">
        <f aca="false">IF(AND(ISNUMBER(SEARCH(" MFA "," "&amp;SUBSTITUTE($I40,","," ")&amp;" ")),ISNUMBER($L40)),$L40,"")</f>
        <v/>
      </c>
      <c r="AH40" s="16" t="str">
        <f aca="false">IF(AND(ISNUMBER(SEARCH(" RAP "," "&amp;SUBSTITUTE($I40,","," ")&amp;" ")),ISNUMBER($L40)),$L40,"")</f>
        <v/>
      </c>
      <c r="AI40" s="16" t="str">
        <f aca="false">IF(AND(ISNUMBER(SEARCH(" AC "," "&amp;SUBSTITUTE($I40,","," ")&amp;" ")),ISNUMBER($L40)),$L40,"")</f>
        <v/>
      </c>
      <c r="AJ40" s="16" t="str">
        <f aca="false">IF(AND(ISNUMBER(SEARCH(" MAC "," "&amp;SUBSTITUTE($I40,","," ")&amp;" ")),ISNUMBER($L40)),$L40,"")</f>
        <v/>
      </c>
      <c r="AK40" s="16" t="str">
        <f aca="false">IF(AND(ISNUMBER(SEARCH(" UAH "," "&amp;SUBSTITUTE($I40,","," ")&amp;" ")),ISNUMBER($L40)),$L40,"")</f>
        <v/>
      </c>
      <c r="AL40" s="16" t="str">
        <f aca="false">IF(AND(ISNUMBER(SEARCH(" RB "," "&amp;SUBSTITUTE($I40,","," ")&amp;" ")),ISNUMBER($L40)),$L40,"")</f>
        <v/>
      </c>
    </row>
    <row r="41" customFormat="false" ht="69" hidden="false" customHeight="true" outlineLevel="0" collapsed="false">
      <c r="A41" s="4" t="s">
        <v>406</v>
      </c>
      <c r="B41" s="5" t="s">
        <v>341</v>
      </c>
      <c r="C41" s="5" t="s">
        <v>342</v>
      </c>
      <c r="D41" s="5" t="s">
        <v>407</v>
      </c>
      <c r="E41" s="5" t="s">
        <v>408</v>
      </c>
      <c r="F41" s="5" t="s">
        <v>409</v>
      </c>
      <c r="G41" s="5" t="s">
        <v>410</v>
      </c>
      <c r="H41" s="5" t="s">
        <v>411</v>
      </c>
      <c r="I41" s="13" t="s">
        <v>412</v>
      </c>
      <c r="J41" s="13" t="s">
        <v>50</v>
      </c>
      <c r="K41" s="9" t="n">
        <v>2</v>
      </c>
      <c r="L41" s="9"/>
      <c r="M41" s="13" t="str">
        <f aca="false">IF(ISNUMBER(L41),IF(L41&lt;K41,"Gap","OK"),IF(L41="N/A","N/A",""))</f>
        <v/>
      </c>
      <c r="N41" s="9"/>
      <c r="O41" s="9"/>
      <c r="P41" s="13" t="str">
        <f aca="false">IF(AND(M41="Gap",N41&lt;&gt;"",O41&lt;&gt;""),VLOOKUP(N41&amp;O41,Lists!$H$4:$I$12,2,FALSE()),"")</f>
        <v/>
      </c>
      <c r="Q41" s="13" t="str">
        <f aca="false">IF(AND(M41="Gap",O41="S",OR(N41="H",N41="M")),"Yes","")</f>
        <v/>
      </c>
      <c r="R41" s="9" t="s">
        <v>50</v>
      </c>
      <c r="S41" s="14" t="str">
        <f aca="false">IF(A41="","",IFERROR(IF(OR(VLOOKUP(A41,AutoEvidence!$A$2:$G$400,2,FALSE())="Collected",VLOOKUP(A41,AutoEvidence!$A$2:$G$400,2,FALSE())="Partial"),VLOOKUP(A41,AutoEvidence!$A$2:$G$400,3,FALSE())&amp;" ("&amp;VLOOKUP(A41,AutoEvidence!$A$2:$G$400,2,FALSE())&amp;")",VLOOKUP(A41,AutoEvidence!$A$2:$G$400,2,FALSE())),""))</f>
        <v/>
      </c>
      <c r="T41" s="7" t="str">
        <f aca="false">IF(A41="","",IFERROR(VLOOKUP(A41,AutoEvidence!$A$2:$G$400,4,FALSE())&amp;"",""))</f>
        <v/>
      </c>
      <c r="U41" s="6"/>
      <c r="V41" s="6"/>
      <c r="W41" s="9"/>
      <c r="X41" s="6"/>
      <c r="Y41" s="6"/>
      <c r="Z41" s="9"/>
      <c r="AA41" s="15"/>
      <c r="AB41" s="13" t="str">
        <f aca="false">IF(M41="Gap",1,IF(M41="OK",0,""))</f>
        <v/>
      </c>
      <c r="AC41" s="16" t="str">
        <f aca="false">IF(P41&lt;&gt;"",VALUE(RIGHT(P41,1))*1000+ROW(),"")</f>
        <v/>
      </c>
      <c r="AD41" s="16" t="str">
        <f aca="false">IF(ISNUMBER(L41),MIN(L41,K41),"")</f>
        <v/>
      </c>
      <c r="AE41" s="16" t="str">
        <f aca="false">IF(AND(ISNUMBER(SEARCH(" PA "," "&amp;SUBSTITUTE($I41,","," ")&amp;" ")),ISNUMBER($L41)),$L41,"")</f>
        <v/>
      </c>
      <c r="AF41" s="16" t="str">
        <f aca="false">IF(AND(ISNUMBER(SEARCH(" PO "," "&amp;SUBSTITUTE($I41,","," ")&amp;" ")),ISNUMBER($L41)),$L41,"")</f>
        <v/>
      </c>
      <c r="AG41" s="16" t="str">
        <f aca="false">IF(AND(ISNUMBER(SEARCH(" MFA "," "&amp;SUBSTITUTE($I41,","," ")&amp;" ")),ISNUMBER($L41)),$L41,"")</f>
        <v/>
      </c>
      <c r="AH41" s="16" t="str">
        <f aca="false">IF(AND(ISNUMBER(SEARCH(" RAP "," "&amp;SUBSTITUTE($I41,","," ")&amp;" ")),ISNUMBER($L41)),$L41,"")</f>
        <v/>
      </c>
      <c r="AI41" s="16" t="str">
        <f aca="false">IF(AND(ISNUMBER(SEARCH(" AC "," "&amp;SUBSTITUTE($I41,","," ")&amp;" ")),ISNUMBER($L41)),$L41,"")</f>
        <v/>
      </c>
      <c r="AJ41" s="16" t="str">
        <f aca="false">IF(AND(ISNUMBER(SEARCH(" MAC "," "&amp;SUBSTITUTE($I41,","," ")&amp;" ")),ISNUMBER($L41)),$L41,"")</f>
        <v/>
      </c>
      <c r="AK41" s="16" t="str">
        <f aca="false">IF(AND(ISNUMBER(SEARCH(" UAH "," "&amp;SUBSTITUTE($I41,","," ")&amp;" ")),ISNUMBER($L41)),$L41,"")</f>
        <v/>
      </c>
      <c r="AL41" s="16" t="str">
        <f aca="false">IF(AND(ISNUMBER(SEARCH(" RB "," "&amp;SUBSTITUTE($I41,","," ")&amp;" ")),ISNUMBER($L41)),$L41,"")</f>
        <v/>
      </c>
    </row>
    <row r="42" customFormat="false" ht="55.5" hidden="false" customHeight="true" outlineLevel="0" collapsed="false">
      <c r="A42" s="4" t="s">
        <v>413</v>
      </c>
      <c r="B42" s="5" t="s">
        <v>341</v>
      </c>
      <c r="C42" s="5" t="s">
        <v>342</v>
      </c>
      <c r="D42" s="5" t="s">
        <v>414</v>
      </c>
      <c r="E42" s="5" t="s">
        <v>415</v>
      </c>
      <c r="F42" s="5" t="s">
        <v>416</v>
      </c>
      <c r="G42" s="5" t="s">
        <v>417</v>
      </c>
      <c r="H42" s="5" t="s">
        <v>418</v>
      </c>
      <c r="I42" s="13"/>
      <c r="J42" s="13" t="s">
        <v>50</v>
      </c>
      <c r="K42" s="9" t="n">
        <v>2</v>
      </c>
      <c r="L42" s="9"/>
      <c r="M42" s="13" t="str">
        <f aca="false">IF(ISNUMBER(L42),IF(L42&lt;K42,"Gap","OK"),IF(L42="N/A","N/A",""))</f>
        <v/>
      </c>
      <c r="N42" s="9"/>
      <c r="O42" s="9"/>
      <c r="P42" s="13" t="str">
        <f aca="false">IF(AND(M42="Gap",N42&lt;&gt;"",O42&lt;&gt;""),VLOOKUP(N42&amp;O42,Lists!$H$4:$I$12,2,FALSE()),"")</f>
        <v/>
      </c>
      <c r="Q42" s="13" t="str">
        <f aca="false">IF(AND(M42="Gap",O42="S",OR(N42="H",N42="M")),"Yes","")</f>
        <v/>
      </c>
      <c r="R42" s="9" t="s">
        <v>50</v>
      </c>
      <c r="S42" s="14" t="str">
        <f aca="false">IF(A42="","",IFERROR(IF(OR(VLOOKUP(A42,AutoEvidence!$A$2:$G$400,2,FALSE())="Collected",VLOOKUP(A42,AutoEvidence!$A$2:$G$400,2,FALSE())="Partial"),VLOOKUP(A42,AutoEvidence!$A$2:$G$400,3,FALSE())&amp;" ("&amp;VLOOKUP(A42,AutoEvidence!$A$2:$G$400,2,FALSE())&amp;")",VLOOKUP(A42,AutoEvidence!$A$2:$G$400,2,FALSE())),""))</f>
        <v/>
      </c>
      <c r="T42" s="7" t="str">
        <f aca="false">IF(A42="","",IFERROR(VLOOKUP(A42,AutoEvidence!$A$2:$G$400,4,FALSE())&amp;"",""))</f>
        <v/>
      </c>
      <c r="U42" s="6"/>
      <c r="V42" s="6"/>
      <c r="W42" s="9"/>
      <c r="X42" s="6"/>
      <c r="Y42" s="6"/>
      <c r="Z42" s="9"/>
      <c r="AA42" s="15"/>
      <c r="AB42" s="13" t="str">
        <f aca="false">IF(M42="Gap",1,IF(M42="OK",0,""))</f>
        <v/>
      </c>
      <c r="AC42" s="16" t="str">
        <f aca="false">IF(P42&lt;&gt;"",VALUE(RIGHT(P42,1))*1000+ROW(),"")</f>
        <v/>
      </c>
      <c r="AD42" s="16" t="str">
        <f aca="false">IF(ISNUMBER(L42),MIN(L42,K42),"")</f>
        <v/>
      </c>
      <c r="AE42" s="16" t="str">
        <f aca="false">IF(AND(ISNUMBER(SEARCH(" PA "," "&amp;SUBSTITUTE($I42,","," ")&amp;" ")),ISNUMBER($L42)),$L42,"")</f>
        <v/>
      </c>
      <c r="AF42" s="16" t="str">
        <f aca="false">IF(AND(ISNUMBER(SEARCH(" PO "," "&amp;SUBSTITUTE($I42,","," ")&amp;" ")),ISNUMBER($L42)),$L42,"")</f>
        <v/>
      </c>
      <c r="AG42" s="16" t="str">
        <f aca="false">IF(AND(ISNUMBER(SEARCH(" MFA "," "&amp;SUBSTITUTE($I42,","," ")&amp;" ")),ISNUMBER($L42)),$L42,"")</f>
        <v/>
      </c>
      <c r="AH42" s="16" t="str">
        <f aca="false">IF(AND(ISNUMBER(SEARCH(" RAP "," "&amp;SUBSTITUTE($I42,","," ")&amp;" ")),ISNUMBER($L42)),$L42,"")</f>
        <v/>
      </c>
      <c r="AI42" s="16" t="str">
        <f aca="false">IF(AND(ISNUMBER(SEARCH(" AC "," "&amp;SUBSTITUTE($I42,","," ")&amp;" ")),ISNUMBER($L42)),$L42,"")</f>
        <v/>
      </c>
      <c r="AJ42" s="16" t="str">
        <f aca="false">IF(AND(ISNUMBER(SEARCH(" MAC "," "&amp;SUBSTITUTE($I42,","," ")&amp;" ")),ISNUMBER($L42)),$L42,"")</f>
        <v/>
      </c>
      <c r="AK42" s="16" t="str">
        <f aca="false">IF(AND(ISNUMBER(SEARCH(" UAH "," "&amp;SUBSTITUTE($I42,","," ")&amp;" ")),ISNUMBER($L42)),$L42,"")</f>
        <v/>
      </c>
      <c r="AL42" s="16" t="str">
        <f aca="false">IF(AND(ISNUMBER(SEARCH(" RB "," "&amp;SUBSTITUTE($I42,","," ")&amp;" ")),ISNUMBER($L42)),$L42,"")</f>
        <v/>
      </c>
    </row>
    <row r="43" customFormat="false" ht="55.5" hidden="false" customHeight="true" outlineLevel="0" collapsed="false">
      <c r="A43" s="4" t="s">
        <v>419</v>
      </c>
      <c r="B43" s="5" t="s">
        <v>341</v>
      </c>
      <c r="C43" s="5" t="s">
        <v>342</v>
      </c>
      <c r="D43" s="5" t="s">
        <v>420</v>
      </c>
      <c r="E43" s="5" t="s">
        <v>421</v>
      </c>
      <c r="F43" s="5" t="s">
        <v>422</v>
      </c>
      <c r="G43" s="5" t="s">
        <v>423</v>
      </c>
      <c r="H43" s="5" t="s">
        <v>424</v>
      </c>
      <c r="I43" s="13"/>
      <c r="J43" s="13" t="s">
        <v>50</v>
      </c>
      <c r="K43" s="9" t="n">
        <v>2</v>
      </c>
      <c r="L43" s="9"/>
      <c r="M43" s="13" t="str">
        <f aca="false">IF(ISNUMBER(L43),IF(L43&lt;K43,"Gap","OK"),IF(L43="N/A","N/A",""))</f>
        <v/>
      </c>
      <c r="N43" s="9"/>
      <c r="O43" s="9"/>
      <c r="P43" s="13" t="str">
        <f aca="false">IF(AND(M43="Gap",N43&lt;&gt;"",O43&lt;&gt;""),VLOOKUP(N43&amp;O43,Lists!$H$4:$I$12,2,FALSE()),"")</f>
        <v/>
      </c>
      <c r="Q43" s="13" t="str">
        <f aca="false">IF(AND(M43="Gap",O43="S",OR(N43="H",N43="M")),"Yes","")</f>
        <v/>
      </c>
      <c r="R43" s="9" t="s">
        <v>50</v>
      </c>
      <c r="S43" s="14" t="str">
        <f aca="false">IF(A43="","",IFERROR(IF(OR(VLOOKUP(A43,AutoEvidence!$A$2:$G$400,2,FALSE())="Collected",VLOOKUP(A43,AutoEvidence!$A$2:$G$400,2,FALSE())="Partial"),VLOOKUP(A43,AutoEvidence!$A$2:$G$400,3,FALSE())&amp;" ("&amp;VLOOKUP(A43,AutoEvidence!$A$2:$G$400,2,FALSE())&amp;")",VLOOKUP(A43,AutoEvidence!$A$2:$G$400,2,FALSE())),""))</f>
        <v/>
      </c>
      <c r="T43" s="7" t="str">
        <f aca="false">IF(A43="","",IFERROR(VLOOKUP(A43,AutoEvidence!$A$2:$G$400,4,FALSE())&amp;"",""))</f>
        <v/>
      </c>
      <c r="U43" s="6"/>
      <c r="V43" s="6"/>
      <c r="W43" s="9"/>
      <c r="X43" s="6"/>
      <c r="Y43" s="6"/>
      <c r="Z43" s="9"/>
      <c r="AA43" s="15"/>
      <c r="AB43" s="13" t="str">
        <f aca="false">IF(M43="Gap",1,IF(M43="OK",0,""))</f>
        <v/>
      </c>
      <c r="AC43" s="16" t="str">
        <f aca="false">IF(P43&lt;&gt;"",VALUE(RIGHT(P43,1))*1000+ROW(),"")</f>
        <v/>
      </c>
      <c r="AD43" s="16" t="str">
        <f aca="false">IF(ISNUMBER(L43),MIN(L43,K43),"")</f>
        <v/>
      </c>
      <c r="AE43" s="16" t="str">
        <f aca="false">IF(AND(ISNUMBER(SEARCH(" PA "," "&amp;SUBSTITUTE($I43,","," ")&amp;" ")),ISNUMBER($L43)),$L43,"")</f>
        <v/>
      </c>
      <c r="AF43" s="16" t="str">
        <f aca="false">IF(AND(ISNUMBER(SEARCH(" PO "," "&amp;SUBSTITUTE($I43,","," ")&amp;" ")),ISNUMBER($L43)),$L43,"")</f>
        <v/>
      </c>
      <c r="AG43" s="16" t="str">
        <f aca="false">IF(AND(ISNUMBER(SEARCH(" MFA "," "&amp;SUBSTITUTE($I43,","," ")&amp;" ")),ISNUMBER($L43)),$L43,"")</f>
        <v/>
      </c>
      <c r="AH43" s="16" t="str">
        <f aca="false">IF(AND(ISNUMBER(SEARCH(" RAP "," "&amp;SUBSTITUTE($I43,","," ")&amp;" ")),ISNUMBER($L43)),$L43,"")</f>
        <v/>
      </c>
      <c r="AI43" s="16" t="str">
        <f aca="false">IF(AND(ISNUMBER(SEARCH(" AC "," "&amp;SUBSTITUTE($I43,","," ")&amp;" ")),ISNUMBER($L43)),$L43,"")</f>
        <v/>
      </c>
      <c r="AJ43" s="16" t="str">
        <f aca="false">IF(AND(ISNUMBER(SEARCH(" MAC "," "&amp;SUBSTITUTE($I43,","," ")&amp;" ")),ISNUMBER($L43)),$L43,"")</f>
        <v/>
      </c>
      <c r="AK43" s="16" t="str">
        <f aca="false">IF(AND(ISNUMBER(SEARCH(" UAH "," "&amp;SUBSTITUTE($I43,","," ")&amp;" ")),ISNUMBER($L43)),$L43,"")</f>
        <v/>
      </c>
      <c r="AL43" s="16" t="str">
        <f aca="false">IF(AND(ISNUMBER(SEARCH(" RB "," "&amp;SUBSTITUTE($I43,","," ")&amp;" ")),ISNUMBER($L43)),$L43,"")</f>
        <v/>
      </c>
    </row>
    <row r="44" customFormat="false" ht="42.75" hidden="false" customHeight="true" outlineLevel="0" collapsed="false">
      <c r="A44" s="4" t="s">
        <v>425</v>
      </c>
      <c r="B44" s="5" t="s">
        <v>341</v>
      </c>
      <c r="C44" s="5" t="s">
        <v>342</v>
      </c>
      <c r="D44" s="5" t="s">
        <v>426</v>
      </c>
      <c r="E44" s="5" t="s">
        <v>427</v>
      </c>
      <c r="F44" s="5" t="s">
        <v>428</v>
      </c>
      <c r="G44" s="5" t="s">
        <v>429</v>
      </c>
      <c r="H44" s="5" t="s">
        <v>430</v>
      </c>
      <c r="I44" s="13"/>
      <c r="J44" s="13" t="s">
        <v>50</v>
      </c>
      <c r="K44" s="9" t="n">
        <v>2</v>
      </c>
      <c r="L44" s="9"/>
      <c r="M44" s="13" t="str">
        <f aca="false">IF(ISNUMBER(L44),IF(L44&lt;K44,"Gap","OK"),IF(L44="N/A","N/A",""))</f>
        <v/>
      </c>
      <c r="N44" s="9"/>
      <c r="O44" s="9"/>
      <c r="P44" s="13" t="str">
        <f aca="false">IF(AND(M44="Gap",N44&lt;&gt;"",O44&lt;&gt;""),VLOOKUP(N44&amp;O44,Lists!$H$4:$I$12,2,FALSE()),"")</f>
        <v/>
      </c>
      <c r="Q44" s="13" t="str">
        <f aca="false">IF(AND(M44="Gap",O44="S",OR(N44="H",N44="M")),"Yes","")</f>
        <v/>
      </c>
      <c r="R44" s="9" t="s">
        <v>50</v>
      </c>
      <c r="S44" s="14" t="str">
        <f aca="false">IF(A44="","",IFERROR(IF(OR(VLOOKUP(A44,AutoEvidence!$A$2:$G$400,2,FALSE())="Collected",VLOOKUP(A44,AutoEvidence!$A$2:$G$400,2,FALSE())="Partial"),VLOOKUP(A44,AutoEvidence!$A$2:$G$400,3,FALSE())&amp;" ("&amp;VLOOKUP(A44,AutoEvidence!$A$2:$G$400,2,FALSE())&amp;")",VLOOKUP(A44,AutoEvidence!$A$2:$G$400,2,FALSE())),""))</f>
        <v/>
      </c>
      <c r="T44" s="7" t="str">
        <f aca="false">IF(A44="","",IFERROR(VLOOKUP(A44,AutoEvidence!$A$2:$G$400,4,FALSE())&amp;"",""))</f>
        <v/>
      </c>
      <c r="U44" s="6"/>
      <c r="V44" s="6"/>
      <c r="W44" s="9"/>
      <c r="X44" s="6"/>
      <c r="Y44" s="6"/>
      <c r="Z44" s="9"/>
      <c r="AA44" s="15"/>
      <c r="AB44" s="13" t="str">
        <f aca="false">IF(M44="Gap",1,IF(M44="OK",0,""))</f>
        <v/>
      </c>
      <c r="AC44" s="16" t="str">
        <f aca="false">IF(P44&lt;&gt;"",VALUE(RIGHT(P44,1))*1000+ROW(),"")</f>
        <v/>
      </c>
      <c r="AD44" s="16" t="str">
        <f aca="false">IF(ISNUMBER(L44),MIN(L44,K44),"")</f>
        <v/>
      </c>
      <c r="AE44" s="16" t="str">
        <f aca="false">IF(AND(ISNUMBER(SEARCH(" PA "," "&amp;SUBSTITUTE($I44,","," ")&amp;" ")),ISNUMBER($L44)),$L44,"")</f>
        <v/>
      </c>
      <c r="AF44" s="16" t="str">
        <f aca="false">IF(AND(ISNUMBER(SEARCH(" PO "," "&amp;SUBSTITUTE($I44,","," ")&amp;" ")),ISNUMBER($L44)),$L44,"")</f>
        <v/>
      </c>
      <c r="AG44" s="16" t="str">
        <f aca="false">IF(AND(ISNUMBER(SEARCH(" MFA "," "&amp;SUBSTITUTE($I44,","," ")&amp;" ")),ISNUMBER($L44)),$L44,"")</f>
        <v/>
      </c>
      <c r="AH44" s="16" t="str">
        <f aca="false">IF(AND(ISNUMBER(SEARCH(" RAP "," "&amp;SUBSTITUTE($I44,","," ")&amp;" ")),ISNUMBER($L44)),$L44,"")</f>
        <v/>
      </c>
      <c r="AI44" s="16" t="str">
        <f aca="false">IF(AND(ISNUMBER(SEARCH(" AC "," "&amp;SUBSTITUTE($I44,","," ")&amp;" ")),ISNUMBER($L44)),$L44,"")</f>
        <v/>
      </c>
      <c r="AJ44" s="16" t="str">
        <f aca="false">IF(AND(ISNUMBER(SEARCH(" MAC "," "&amp;SUBSTITUTE($I44,","," ")&amp;" ")),ISNUMBER($L44)),$L44,"")</f>
        <v/>
      </c>
      <c r="AK44" s="16" t="str">
        <f aca="false">IF(AND(ISNUMBER(SEARCH(" UAH "," "&amp;SUBSTITUTE($I44,","," ")&amp;" ")),ISNUMBER($L44)),$L44,"")</f>
        <v/>
      </c>
      <c r="AL44" s="16" t="str">
        <f aca="false">IF(AND(ISNUMBER(SEARCH(" RB "," "&amp;SUBSTITUTE($I44,","," ")&amp;" ")),ISNUMBER($L44)),$L44,"")</f>
        <v/>
      </c>
    </row>
    <row r="45" customFormat="false" ht="55.5" hidden="false" customHeight="true" outlineLevel="0" collapsed="false">
      <c r="A45" s="4" t="s">
        <v>431</v>
      </c>
      <c r="B45" s="5" t="s">
        <v>341</v>
      </c>
      <c r="C45" s="5" t="s">
        <v>342</v>
      </c>
      <c r="D45" s="5" t="s">
        <v>432</v>
      </c>
      <c r="E45" s="5" t="s">
        <v>433</v>
      </c>
      <c r="F45" s="5" t="s">
        <v>434</v>
      </c>
      <c r="G45" s="5" t="s">
        <v>435</v>
      </c>
      <c r="H45" s="5" t="s">
        <v>436</v>
      </c>
      <c r="I45" s="13" t="s">
        <v>412</v>
      </c>
      <c r="J45" s="13" t="s">
        <v>50</v>
      </c>
      <c r="K45" s="9" t="n">
        <v>2</v>
      </c>
      <c r="L45" s="9"/>
      <c r="M45" s="13" t="str">
        <f aca="false">IF(ISNUMBER(L45),IF(L45&lt;K45,"Gap","OK"),IF(L45="N/A","N/A",""))</f>
        <v/>
      </c>
      <c r="N45" s="9"/>
      <c r="O45" s="9"/>
      <c r="P45" s="13" t="str">
        <f aca="false">IF(AND(M45="Gap",N45&lt;&gt;"",O45&lt;&gt;""),VLOOKUP(N45&amp;O45,Lists!$H$4:$I$12,2,FALSE()),"")</f>
        <v/>
      </c>
      <c r="Q45" s="13" t="str">
        <f aca="false">IF(AND(M45="Gap",O45="S",OR(N45="H",N45="M")),"Yes","")</f>
        <v/>
      </c>
      <c r="R45" s="9" t="s">
        <v>50</v>
      </c>
      <c r="S45" s="14" t="str">
        <f aca="false">IF(A45="","",IFERROR(IF(OR(VLOOKUP(A45,AutoEvidence!$A$2:$G$400,2,FALSE())="Collected",VLOOKUP(A45,AutoEvidence!$A$2:$G$400,2,FALSE())="Partial"),VLOOKUP(A45,AutoEvidence!$A$2:$G$400,3,FALSE())&amp;" ("&amp;VLOOKUP(A45,AutoEvidence!$A$2:$G$400,2,FALSE())&amp;")",VLOOKUP(A45,AutoEvidence!$A$2:$G$400,2,FALSE())),""))</f>
        <v/>
      </c>
      <c r="T45" s="7" t="str">
        <f aca="false">IF(A45="","",IFERROR(VLOOKUP(A45,AutoEvidence!$A$2:$G$400,4,FALSE())&amp;"",""))</f>
        <v/>
      </c>
      <c r="U45" s="6"/>
      <c r="V45" s="6"/>
      <c r="W45" s="9"/>
      <c r="X45" s="6"/>
      <c r="Y45" s="6"/>
      <c r="Z45" s="9"/>
      <c r="AA45" s="15"/>
      <c r="AB45" s="13" t="str">
        <f aca="false">IF(M45="Gap",1,IF(M45="OK",0,""))</f>
        <v/>
      </c>
      <c r="AC45" s="16" t="str">
        <f aca="false">IF(P45&lt;&gt;"",VALUE(RIGHT(P45,1))*1000+ROW(),"")</f>
        <v/>
      </c>
      <c r="AD45" s="16" t="str">
        <f aca="false">IF(ISNUMBER(L45),MIN(L45,K45),"")</f>
        <v/>
      </c>
      <c r="AE45" s="16" t="str">
        <f aca="false">IF(AND(ISNUMBER(SEARCH(" PA "," "&amp;SUBSTITUTE($I45,","," ")&amp;" ")),ISNUMBER($L45)),$L45,"")</f>
        <v/>
      </c>
      <c r="AF45" s="16" t="str">
        <f aca="false">IF(AND(ISNUMBER(SEARCH(" PO "," "&amp;SUBSTITUTE($I45,","," ")&amp;" ")),ISNUMBER($L45)),$L45,"")</f>
        <v/>
      </c>
      <c r="AG45" s="16" t="str">
        <f aca="false">IF(AND(ISNUMBER(SEARCH(" MFA "," "&amp;SUBSTITUTE($I45,","," ")&amp;" ")),ISNUMBER($L45)),$L45,"")</f>
        <v/>
      </c>
      <c r="AH45" s="16" t="str">
        <f aca="false">IF(AND(ISNUMBER(SEARCH(" RAP "," "&amp;SUBSTITUTE($I45,","," ")&amp;" ")),ISNUMBER($L45)),$L45,"")</f>
        <v/>
      </c>
      <c r="AI45" s="16" t="str">
        <f aca="false">IF(AND(ISNUMBER(SEARCH(" AC "," "&amp;SUBSTITUTE($I45,","," ")&amp;" ")),ISNUMBER($L45)),$L45,"")</f>
        <v/>
      </c>
      <c r="AJ45" s="16" t="str">
        <f aca="false">IF(AND(ISNUMBER(SEARCH(" MAC "," "&amp;SUBSTITUTE($I45,","," ")&amp;" ")),ISNUMBER($L45)),$L45,"")</f>
        <v/>
      </c>
      <c r="AK45" s="16" t="str">
        <f aca="false">IF(AND(ISNUMBER(SEARCH(" UAH "," "&amp;SUBSTITUTE($I45,","," ")&amp;" ")),ISNUMBER($L45)),$L45,"")</f>
        <v/>
      </c>
      <c r="AL45" s="16" t="str">
        <f aca="false">IF(AND(ISNUMBER(SEARCH(" RB "," "&amp;SUBSTITUTE($I45,","," ")&amp;" ")),ISNUMBER($L45)),$L45,"")</f>
        <v/>
      </c>
    </row>
    <row r="46" customFormat="false" ht="42.75" hidden="false" customHeight="true" outlineLevel="0" collapsed="false">
      <c r="A46" s="4" t="s">
        <v>437</v>
      </c>
      <c r="B46" s="5" t="s">
        <v>341</v>
      </c>
      <c r="C46" s="5" t="s">
        <v>342</v>
      </c>
      <c r="D46" s="5" t="s">
        <v>438</v>
      </c>
      <c r="E46" s="5" t="s">
        <v>439</v>
      </c>
      <c r="F46" s="5" t="s">
        <v>440</v>
      </c>
      <c r="G46" s="5" t="s">
        <v>441</v>
      </c>
      <c r="H46" s="5" t="s">
        <v>442</v>
      </c>
      <c r="I46" s="13"/>
      <c r="J46" s="13" t="s">
        <v>48</v>
      </c>
      <c r="K46" s="9" t="n">
        <v>2</v>
      </c>
      <c r="L46" s="9"/>
      <c r="M46" s="13" t="str">
        <f aca="false">IF(ISNUMBER(L46),IF(L46&lt;K46,"Gap","OK"),IF(L46="N/A","N/A",""))</f>
        <v/>
      </c>
      <c r="N46" s="9"/>
      <c r="O46" s="9"/>
      <c r="P46" s="13" t="str">
        <f aca="false">IF(AND(M46="Gap",N46&lt;&gt;"",O46&lt;&gt;""),VLOOKUP(N46&amp;O46,Lists!$H$4:$I$12,2,FALSE()),"")</f>
        <v/>
      </c>
      <c r="Q46" s="13" t="str">
        <f aca="false">IF(AND(M46="Gap",O46="S",OR(N46="H",N46="M")),"Yes","")</f>
        <v/>
      </c>
      <c r="R46" s="9" t="s">
        <v>48</v>
      </c>
      <c r="S46" s="14" t="str">
        <f aca="false">IF(A46="","",IFERROR(IF(OR(VLOOKUP(A46,AutoEvidence!$A$2:$G$400,2,FALSE())="Collected",VLOOKUP(A46,AutoEvidence!$A$2:$G$400,2,FALSE())="Partial"),VLOOKUP(A46,AutoEvidence!$A$2:$G$400,3,FALSE())&amp;" ("&amp;VLOOKUP(A46,AutoEvidence!$A$2:$G$400,2,FALSE())&amp;")",VLOOKUP(A46,AutoEvidence!$A$2:$G$400,2,FALSE())),""))</f>
        <v/>
      </c>
      <c r="T46" s="7" t="str">
        <f aca="false">IF(A46="","",IFERROR(VLOOKUP(A46,AutoEvidence!$A$2:$G$400,4,FALSE())&amp;"",""))</f>
        <v/>
      </c>
      <c r="U46" s="6"/>
      <c r="V46" s="6"/>
      <c r="W46" s="9"/>
      <c r="X46" s="6"/>
      <c r="Y46" s="6"/>
      <c r="Z46" s="9"/>
      <c r="AA46" s="15"/>
      <c r="AB46" s="13" t="str">
        <f aca="false">IF(M46="Gap",1,IF(M46="OK",0,""))</f>
        <v/>
      </c>
      <c r="AC46" s="16" t="str">
        <f aca="false">IF(P46&lt;&gt;"",VALUE(RIGHT(P46,1))*1000+ROW(),"")</f>
        <v/>
      </c>
      <c r="AD46" s="16" t="str">
        <f aca="false">IF(ISNUMBER(L46),MIN(L46,K46),"")</f>
        <v/>
      </c>
      <c r="AE46" s="16" t="str">
        <f aca="false">IF(AND(ISNUMBER(SEARCH(" PA "," "&amp;SUBSTITUTE($I46,","," ")&amp;" ")),ISNUMBER($L46)),$L46,"")</f>
        <v/>
      </c>
      <c r="AF46" s="16" t="str">
        <f aca="false">IF(AND(ISNUMBER(SEARCH(" PO "," "&amp;SUBSTITUTE($I46,","," ")&amp;" ")),ISNUMBER($L46)),$L46,"")</f>
        <v/>
      </c>
      <c r="AG46" s="16" t="str">
        <f aca="false">IF(AND(ISNUMBER(SEARCH(" MFA "," "&amp;SUBSTITUTE($I46,","," ")&amp;" ")),ISNUMBER($L46)),$L46,"")</f>
        <v/>
      </c>
      <c r="AH46" s="16" t="str">
        <f aca="false">IF(AND(ISNUMBER(SEARCH(" RAP "," "&amp;SUBSTITUTE($I46,","," ")&amp;" ")),ISNUMBER($L46)),$L46,"")</f>
        <v/>
      </c>
      <c r="AI46" s="16" t="str">
        <f aca="false">IF(AND(ISNUMBER(SEARCH(" AC "," "&amp;SUBSTITUTE($I46,","," ")&amp;" ")),ISNUMBER($L46)),$L46,"")</f>
        <v/>
      </c>
      <c r="AJ46" s="16" t="str">
        <f aca="false">IF(AND(ISNUMBER(SEARCH(" MAC "," "&amp;SUBSTITUTE($I46,","," ")&amp;" ")),ISNUMBER($L46)),$L46,"")</f>
        <v/>
      </c>
      <c r="AK46" s="16" t="str">
        <f aca="false">IF(AND(ISNUMBER(SEARCH(" UAH "," "&amp;SUBSTITUTE($I46,","," ")&amp;" ")),ISNUMBER($L46)),$L46,"")</f>
        <v/>
      </c>
      <c r="AL46" s="16" t="str">
        <f aca="false">IF(AND(ISNUMBER(SEARCH(" RB "," "&amp;SUBSTITUTE($I46,","," ")&amp;" ")),ISNUMBER($L46)),$L46,"")</f>
        <v/>
      </c>
    </row>
    <row r="47" customFormat="false" ht="42.75" hidden="false" customHeight="true" outlineLevel="0" collapsed="false">
      <c r="A47" s="17" t="s">
        <v>443</v>
      </c>
      <c r="B47" s="18" t="s">
        <v>444</v>
      </c>
      <c r="C47" s="18" t="s">
        <v>445</v>
      </c>
      <c r="D47" s="5" t="s">
        <v>446</v>
      </c>
      <c r="E47" s="5" t="s">
        <v>447</v>
      </c>
      <c r="F47" s="5" t="s">
        <v>448</v>
      </c>
      <c r="G47" s="5" t="s">
        <v>449</v>
      </c>
      <c r="H47" s="5" t="s">
        <v>450</v>
      </c>
      <c r="I47" s="13"/>
      <c r="J47" s="13" t="s">
        <v>46</v>
      </c>
      <c r="K47" s="9" t="n">
        <v>2</v>
      </c>
      <c r="L47" s="9"/>
      <c r="M47" s="13" t="str">
        <f aca="false">IF(ISNUMBER(L47),IF(L47&lt;K47,"Gap","OK"),IF(L47="N/A","N/A",""))</f>
        <v/>
      </c>
      <c r="N47" s="9"/>
      <c r="O47" s="9"/>
      <c r="P47" s="13" t="str">
        <f aca="false">IF(AND(M47="Gap",N47&lt;&gt;"",O47&lt;&gt;""),VLOOKUP(N47&amp;O47,Lists!$H$4:$I$12,2,FALSE()),"")</f>
        <v/>
      </c>
      <c r="Q47" s="13" t="str">
        <f aca="false">IF(AND(M47="Gap",O47="S",OR(N47="H",N47="M")),"Yes","")</f>
        <v/>
      </c>
      <c r="R47" s="9" t="s">
        <v>46</v>
      </c>
      <c r="S47" s="14" t="str">
        <f aca="false">IF(A47="","",IFERROR(IF(OR(VLOOKUP(A47,AutoEvidence!$A$2:$G$400,2,FALSE())="Collected",VLOOKUP(A47,AutoEvidence!$A$2:$G$400,2,FALSE())="Partial"),VLOOKUP(A47,AutoEvidence!$A$2:$G$400,3,FALSE())&amp;" ("&amp;VLOOKUP(A47,AutoEvidence!$A$2:$G$400,2,FALSE())&amp;")",VLOOKUP(A47,AutoEvidence!$A$2:$G$400,2,FALSE())),""))</f>
        <v/>
      </c>
      <c r="T47" s="7" t="str">
        <f aca="false">IF(A47="","",IFERROR(VLOOKUP(A47,AutoEvidence!$A$2:$G$400,4,FALSE())&amp;"",""))</f>
        <v/>
      </c>
      <c r="U47" s="6"/>
      <c r="V47" s="6"/>
      <c r="W47" s="9"/>
      <c r="X47" s="6"/>
      <c r="Y47" s="6"/>
      <c r="Z47" s="9"/>
      <c r="AA47" s="15"/>
      <c r="AB47" s="13" t="str">
        <f aca="false">IF(M47="Gap",1,IF(M47="OK",0,""))</f>
        <v/>
      </c>
      <c r="AC47" s="16" t="str">
        <f aca="false">IF(P47&lt;&gt;"",VALUE(RIGHT(P47,1))*1000+ROW(),"")</f>
        <v/>
      </c>
      <c r="AD47" s="16" t="str">
        <f aca="false">IF(ISNUMBER(L47),MIN(L47,K47),"")</f>
        <v/>
      </c>
      <c r="AE47" s="16" t="str">
        <f aca="false">IF(AND(ISNUMBER(SEARCH(" PA "," "&amp;SUBSTITUTE($I47,","," ")&amp;" ")),ISNUMBER($L47)),$L47,"")</f>
        <v/>
      </c>
      <c r="AF47" s="16" t="str">
        <f aca="false">IF(AND(ISNUMBER(SEARCH(" PO "," "&amp;SUBSTITUTE($I47,","," ")&amp;" ")),ISNUMBER($L47)),$L47,"")</f>
        <v/>
      </c>
      <c r="AG47" s="16" t="str">
        <f aca="false">IF(AND(ISNUMBER(SEARCH(" MFA "," "&amp;SUBSTITUTE($I47,","," ")&amp;" ")),ISNUMBER($L47)),$L47,"")</f>
        <v/>
      </c>
      <c r="AH47" s="16" t="str">
        <f aca="false">IF(AND(ISNUMBER(SEARCH(" RAP "," "&amp;SUBSTITUTE($I47,","," ")&amp;" ")),ISNUMBER($L47)),$L47,"")</f>
        <v/>
      </c>
      <c r="AI47" s="16" t="str">
        <f aca="false">IF(AND(ISNUMBER(SEARCH(" AC "," "&amp;SUBSTITUTE($I47,","," ")&amp;" ")),ISNUMBER($L47)),$L47,"")</f>
        <v/>
      </c>
      <c r="AJ47" s="16" t="str">
        <f aca="false">IF(AND(ISNUMBER(SEARCH(" MAC "," "&amp;SUBSTITUTE($I47,","," ")&amp;" ")),ISNUMBER($L47)),$L47,"")</f>
        <v/>
      </c>
      <c r="AK47" s="16" t="str">
        <f aca="false">IF(AND(ISNUMBER(SEARCH(" UAH "," "&amp;SUBSTITUTE($I47,","," ")&amp;" ")),ISNUMBER($L47)),$L47,"")</f>
        <v/>
      </c>
      <c r="AL47" s="16" t="str">
        <f aca="false">IF(AND(ISNUMBER(SEARCH(" RB "," "&amp;SUBSTITUTE($I47,","," ")&amp;" ")),ISNUMBER($L47)),$L47,"")</f>
        <v/>
      </c>
    </row>
    <row r="48" customFormat="false" ht="55.5" hidden="false" customHeight="true" outlineLevel="0" collapsed="false">
      <c r="A48" s="17" t="s">
        <v>451</v>
      </c>
      <c r="B48" s="18" t="s">
        <v>444</v>
      </c>
      <c r="C48" s="18" t="s">
        <v>445</v>
      </c>
      <c r="D48" s="5" t="s">
        <v>452</v>
      </c>
      <c r="E48" s="5" t="s">
        <v>453</v>
      </c>
      <c r="F48" s="5" t="s">
        <v>454</v>
      </c>
      <c r="G48" s="5" t="s">
        <v>455</v>
      </c>
      <c r="H48" s="5" t="s">
        <v>456</v>
      </c>
      <c r="I48" s="13" t="s">
        <v>354</v>
      </c>
      <c r="J48" s="13" t="s">
        <v>48</v>
      </c>
      <c r="K48" s="9" t="n">
        <v>2</v>
      </c>
      <c r="L48" s="9"/>
      <c r="M48" s="13" t="str">
        <f aca="false">IF(ISNUMBER(L48),IF(L48&lt;K48,"Gap","OK"),IF(L48="N/A","N/A",""))</f>
        <v/>
      </c>
      <c r="N48" s="9"/>
      <c r="O48" s="9"/>
      <c r="P48" s="13" t="str">
        <f aca="false">IF(AND(M48="Gap",N48&lt;&gt;"",O48&lt;&gt;""),VLOOKUP(N48&amp;O48,Lists!$H$4:$I$12,2,FALSE()),"")</f>
        <v/>
      </c>
      <c r="Q48" s="13" t="str">
        <f aca="false">IF(AND(M48="Gap",O48="S",OR(N48="H",N48="M")),"Yes","")</f>
        <v/>
      </c>
      <c r="R48" s="9" t="s">
        <v>48</v>
      </c>
      <c r="S48" s="14" t="str">
        <f aca="false">IF(A48="","",IFERROR(IF(OR(VLOOKUP(A48,AutoEvidence!$A$2:$G$400,2,FALSE())="Collected",VLOOKUP(A48,AutoEvidence!$A$2:$G$400,2,FALSE())="Partial"),VLOOKUP(A48,AutoEvidence!$A$2:$G$400,3,FALSE())&amp;" ("&amp;VLOOKUP(A48,AutoEvidence!$A$2:$G$400,2,FALSE())&amp;")",VLOOKUP(A48,AutoEvidence!$A$2:$G$400,2,FALSE())),""))</f>
        <v/>
      </c>
      <c r="T48" s="7" t="str">
        <f aca="false">IF(A48="","",IFERROR(VLOOKUP(A48,AutoEvidence!$A$2:$G$400,4,FALSE())&amp;"",""))</f>
        <v/>
      </c>
      <c r="U48" s="6"/>
      <c r="V48" s="6"/>
      <c r="W48" s="9"/>
      <c r="X48" s="6"/>
      <c r="Y48" s="6"/>
      <c r="Z48" s="9"/>
      <c r="AA48" s="15"/>
      <c r="AB48" s="13" t="str">
        <f aca="false">IF(M48="Gap",1,IF(M48="OK",0,""))</f>
        <v/>
      </c>
      <c r="AC48" s="16" t="str">
        <f aca="false">IF(P48&lt;&gt;"",VALUE(RIGHT(P48,1))*1000+ROW(),"")</f>
        <v/>
      </c>
      <c r="AD48" s="16" t="str">
        <f aca="false">IF(ISNUMBER(L48),MIN(L48,K48),"")</f>
        <v/>
      </c>
      <c r="AE48" s="16" t="str">
        <f aca="false">IF(AND(ISNUMBER(SEARCH(" PA "," "&amp;SUBSTITUTE($I48,","," ")&amp;" ")),ISNUMBER($L48)),$L48,"")</f>
        <v/>
      </c>
      <c r="AF48" s="16" t="str">
        <f aca="false">IF(AND(ISNUMBER(SEARCH(" PO "," "&amp;SUBSTITUTE($I48,","," ")&amp;" ")),ISNUMBER($L48)),$L48,"")</f>
        <v/>
      </c>
      <c r="AG48" s="16" t="str">
        <f aca="false">IF(AND(ISNUMBER(SEARCH(" MFA "," "&amp;SUBSTITUTE($I48,","," ")&amp;" ")),ISNUMBER($L48)),$L48,"")</f>
        <v/>
      </c>
      <c r="AH48" s="16" t="str">
        <f aca="false">IF(AND(ISNUMBER(SEARCH(" RAP "," "&amp;SUBSTITUTE($I48,","," ")&amp;" ")),ISNUMBER($L48)),$L48,"")</f>
        <v/>
      </c>
      <c r="AI48" s="16" t="str">
        <f aca="false">IF(AND(ISNUMBER(SEARCH(" AC "," "&amp;SUBSTITUTE($I48,","," ")&amp;" ")),ISNUMBER($L48)),$L48,"")</f>
        <v/>
      </c>
      <c r="AJ48" s="16" t="str">
        <f aca="false">IF(AND(ISNUMBER(SEARCH(" MAC "," "&amp;SUBSTITUTE($I48,","," ")&amp;" ")),ISNUMBER($L48)),$L48,"")</f>
        <v/>
      </c>
      <c r="AK48" s="16" t="str">
        <f aca="false">IF(AND(ISNUMBER(SEARCH(" UAH "," "&amp;SUBSTITUTE($I48,","," ")&amp;" ")),ISNUMBER($L48)),$L48,"")</f>
        <v/>
      </c>
      <c r="AL48" s="16" t="str">
        <f aca="false">IF(AND(ISNUMBER(SEARCH(" RB "," "&amp;SUBSTITUTE($I48,","," ")&amp;" ")),ISNUMBER($L48)),$L48,"")</f>
        <v/>
      </c>
    </row>
    <row r="49" customFormat="false" ht="55.5" hidden="false" customHeight="true" outlineLevel="0" collapsed="false">
      <c r="A49" s="17" t="s">
        <v>457</v>
      </c>
      <c r="B49" s="18" t="s">
        <v>444</v>
      </c>
      <c r="C49" s="18" t="s">
        <v>445</v>
      </c>
      <c r="D49" s="5" t="s">
        <v>458</v>
      </c>
      <c r="E49" s="5" t="s">
        <v>459</v>
      </c>
      <c r="F49" s="5" t="s">
        <v>460</v>
      </c>
      <c r="G49" s="5" t="s">
        <v>461</v>
      </c>
      <c r="H49" s="5" t="s">
        <v>462</v>
      </c>
      <c r="I49" s="13" t="s">
        <v>354</v>
      </c>
      <c r="J49" s="13" t="s">
        <v>46</v>
      </c>
      <c r="K49" s="9" t="n">
        <v>2</v>
      </c>
      <c r="L49" s="9"/>
      <c r="M49" s="13" t="str">
        <f aca="false">IF(ISNUMBER(L49),IF(L49&lt;K49,"Gap","OK"),IF(L49="N/A","N/A",""))</f>
        <v/>
      </c>
      <c r="N49" s="9"/>
      <c r="O49" s="9"/>
      <c r="P49" s="13" t="str">
        <f aca="false">IF(AND(M49="Gap",N49&lt;&gt;"",O49&lt;&gt;""),VLOOKUP(N49&amp;O49,Lists!$H$4:$I$12,2,FALSE()),"")</f>
        <v/>
      </c>
      <c r="Q49" s="13" t="str">
        <f aca="false">IF(AND(M49="Gap",O49="S",OR(N49="H",N49="M")),"Yes","")</f>
        <v/>
      </c>
      <c r="R49" s="9" t="s">
        <v>46</v>
      </c>
      <c r="S49" s="14" t="str">
        <f aca="false">IF(A49="","",IFERROR(IF(OR(VLOOKUP(A49,AutoEvidence!$A$2:$G$400,2,FALSE())="Collected",VLOOKUP(A49,AutoEvidence!$A$2:$G$400,2,FALSE())="Partial"),VLOOKUP(A49,AutoEvidence!$A$2:$G$400,3,FALSE())&amp;" ("&amp;VLOOKUP(A49,AutoEvidence!$A$2:$G$400,2,FALSE())&amp;")",VLOOKUP(A49,AutoEvidence!$A$2:$G$400,2,FALSE())),""))</f>
        <v/>
      </c>
      <c r="T49" s="7" t="str">
        <f aca="false">IF(A49="","",IFERROR(VLOOKUP(A49,AutoEvidence!$A$2:$G$400,4,FALSE())&amp;"",""))</f>
        <v/>
      </c>
      <c r="U49" s="6"/>
      <c r="V49" s="6"/>
      <c r="W49" s="9"/>
      <c r="X49" s="6"/>
      <c r="Y49" s="6"/>
      <c r="Z49" s="9"/>
      <c r="AA49" s="15"/>
      <c r="AB49" s="13" t="str">
        <f aca="false">IF(M49="Gap",1,IF(M49="OK",0,""))</f>
        <v/>
      </c>
      <c r="AC49" s="16" t="str">
        <f aca="false">IF(P49&lt;&gt;"",VALUE(RIGHT(P49,1))*1000+ROW(),"")</f>
        <v/>
      </c>
      <c r="AD49" s="16" t="str">
        <f aca="false">IF(ISNUMBER(L49),MIN(L49,K49),"")</f>
        <v/>
      </c>
      <c r="AE49" s="16" t="str">
        <f aca="false">IF(AND(ISNUMBER(SEARCH(" PA "," "&amp;SUBSTITUTE($I49,","," ")&amp;" ")),ISNUMBER($L49)),$L49,"")</f>
        <v/>
      </c>
      <c r="AF49" s="16" t="str">
        <f aca="false">IF(AND(ISNUMBER(SEARCH(" PO "," "&amp;SUBSTITUTE($I49,","," ")&amp;" ")),ISNUMBER($L49)),$L49,"")</f>
        <v/>
      </c>
      <c r="AG49" s="16" t="str">
        <f aca="false">IF(AND(ISNUMBER(SEARCH(" MFA "," "&amp;SUBSTITUTE($I49,","," ")&amp;" ")),ISNUMBER($L49)),$L49,"")</f>
        <v/>
      </c>
      <c r="AH49" s="16" t="str">
        <f aca="false">IF(AND(ISNUMBER(SEARCH(" RAP "," "&amp;SUBSTITUTE($I49,","," ")&amp;" ")),ISNUMBER($L49)),$L49,"")</f>
        <v/>
      </c>
      <c r="AI49" s="16" t="str">
        <f aca="false">IF(AND(ISNUMBER(SEARCH(" AC "," "&amp;SUBSTITUTE($I49,","," ")&amp;" ")),ISNUMBER($L49)),$L49,"")</f>
        <v/>
      </c>
      <c r="AJ49" s="16" t="str">
        <f aca="false">IF(AND(ISNUMBER(SEARCH(" MAC "," "&amp;SUBSTITUTE($I49,","," ")&amp;" ")),ISNUMBER($L49)),$L49,"")</f>
        <v/>
      </c>
      <c r="AK49" s="16" t="str">
        <f aca="false">IF(AND(ISNUMBER(SEARCH(" UAH "," "&amp;SUBSTITUTE($I49,","," ")&amp;" ")),ISNUMBER($L49)),$L49,"")</f>
        <v/>
      </c>
      <c r="AL49" s="16" t="str">
        <f aca="false">IF(AND(ISNUMBER(SEARCH(" RB "," "&amp;SUBSTITUTE($I49,","," ")&amp;" ")),ISNUMBER($L49)),$L49,"")</f>
        <v/>
      </c>
    </row>
    <row r="50" customFormat="false" ht="69" hidden="false" customHeight="true" outlineLevel="0" collapsed="false">
      <c r="A50" s="17" t="s">
        <v>463</v>
      </c>
      <c r="B50" s="18" t="s">
        <v>444</v>
      </c>
      <c r="C50" s="18" t="s">
        <v>445</v>
      </c>
      <c r="D50" s="5" t="s">
        <v>464</v>
      </c>
      <c r="E50" s="5" t="s">
        <v>465</v>
      </c>
      <c r="F50" s="5" t="s">
        <v>466</v>
      </c>
      <c r="G50" s="5" t="s">
        <v>467</v>
      </c>
      <c r="H50" s="5" t="s">
        <v>468</v>
      </c>
      <c r="I50" s="13" t="s">
        <v>469</v>
      </c>
      <c r="J50" s="13" t="s">
        <v>50</v>
      </c>
      <c r="K50" s="9" t="n">
        <v>2</v>
      </c>
      <c r="L50" s="9"/>
      <c r="M50" s="13" t="str">
        <f aca="false">IF(ISNUMBER(L50),IF(L50&lt;K50,"Gap","OK"),IF(L50="N/A","N/A",""))</f>
        <v/>
      </c>
      <c r="N50" s="9"/>
      <c r="O50" s="9"/>
      <c r="P50" s="13" t="str">
        <f aca="false">IF(AND(M50="Gap",N50&lt;&gt;"",O50&lt;&gt;""),VLOOKUP(N50&amp;O50,Lists!$H$4:$I$12,2,FALSE()),"")</f>
        <v/>
      </c>
      <c r="Q50" s="13" t="str">
        <f aca="false">IF(AND(M50="Gap",O50="S",OR(N50="H",N50="M")),"Yes","")</f>
        <v/>
      </c>
      <c r="R50" s="9" t="s">
        <v>50</v>
      </c>
      <c r="S50" s="14" t="str">
        <f aca="false">IF(A50="","",IFERROR(IF(OR(VLOOKUP(A50,AutoEvidence!$A$2:$G$400,2,FALSE())="Collected",VLOOKUP(A50,AutoEvidence!$A$2:$G$400,2,FALSE())="Partial"),VLOOKUP(A50,AutoEvidence!$A$2:$G$400,3,FALSE())&amp;" ("&amp;VLOOKUP(A50,AutoEvidence!$A$2:$G$400,2,FALSE())&amp;")",VLOOKUP(A50,AutoEvidence!$A$2:$G$400,2,FALSE())),""))</f>
        <v/>
      </c>
      <c r="T50" s="7" t="str">
        <f aca="false">IF(A50="","",IFERROR(VLOOKUP(A50,AutoEvidence!$A$2:$G$400,4,FALSE())&amp;"",""))</f>
        <v/>
      </c>
      <c r="U50" s="6"/>
      <c r="V50" s="6"/>
      <c r="W50" s="9"/>
      <c r="X50" s="6"/>
      <c r="Y50" s="6"/>
      <c r="Z50" s="9"/>
      <c r="AA50" s="15"/>
      <c r="AB50" s="13" t="str">
        <f aca="false">IF(M50="Gap",1,IF(M50="OK",0,""))</f>
        <v/>
      </c>
      <c r="AC50" s="16" t="str">
        <f aca="false">IF(P50&lt;&gt;"",VALUE(RIGHT(P50,1))*1000+ROW(),"")</f>
        <v/>
      </c>
      <c r="AD50" s="16" t="str">
        <f aca="false">IF(ISNUMBER(L50),MIN(L50,K50),"")</f>
        <v/>
      </c>
      <c r="AE50" s="16" t="str">
        <f aca="false">IF(AND(ISNUMBER(SEARCH(" PA "," "&amp;SUBSTITUTE($I50,","," ")&amp;" ")),ISNUMBER($L50)),$L50,"")</f>
        <v/>
      </c>
      <c r="AF50" s="16" t="str">
        <f aca="false">IF(AND(ISNUMBER(SEARCH(" PO "," "&amp;SUBSTITUTE($I50,","," ")&amp;" ")),ISNUMBER($L50)),$L50,"")</f>
        <v/>
      </c>
      <c r="AG50" s="16" t="str">
        <f aca="false">IF(AND(ISNUMBER(SEARCH(" MFA "," "&amp;SUBSTITUTE($I50,","," ")&amp;" ")),ISNUMBER($L50)),$L50,"")</f>
        <v/>
      </c>
      <c r="AH50" s="16" t="str">
        <f aca="false">IF(AND(ISNUMBER(SEARCH(" RAP "," "&amp;SUBSTITUTE($I50,","," ")&amp;" ")),ISNUMBER($L50)),$L50,"")</f>
        <v/>
      </c>
      <c r="AI50" s="16" t="str">
        <f aca="false">IF(AND(ISNUMBER(SEARCH(" AC "," "&amp;SUBSTITUTE($I50,","," ")&amp;" ")),ISNUMBER($L50)),$L50,"")</f>
        <v/>
      </c>
      <c r="AJ50" s="16" t="str">
        <f aca="false">IF(AND(ISNUMBER(SEARCH(" MAC "," "&amp;SUBSTITUTE($I50,","," ")&amp;" ")),ISNUMBER($L50)),$L50,"")</f>
        <v/>
      </c>
      <c r="AK50" s="16" t="str">
        <f aca="false">IF(AND(ISNUMBER(SEARCH(" UAH "," "&amp;SUBSTITUTE($I50,","," ")&amp;" ")),ISNUMBER($L50)),$L50,"")</f>
        <v/>
      </c>
      <c r="AL50" s="16" t="str">
        <f aca="false">IF(AND(ISNUMBER(SEARCH(" RB "," "&amp;SUBSTITUTE($I50,","," ")&amp;" ")),ISNUMBER($L50)),$L50,"")</f>
        <v/>
      </c>
    </row>
    <row r="51" customFormat="false" ht="55.5" hidden="false" customHeight="true" outlineLevel="0" collapsed="false">
      <c r="A51" s="17" t="s">
        <v>470</v>
      </c>
      <c r="B51" s="18" t="s">
        <v>444</v>
      </c>
      <c r="C51" s="18" t="s">
        <v>445</v>
      </c>
      <c r="D51" s="5" t="s">
        <v>471</v>
      </c>
      <c r="E51" s="5" t="s">
        <v>472</v>
      </c>
      <c r="F51" s="5" t="s">
        <v>473</v>
      </c>
      <c r="G51" s="5" t="s">
        <v>474</v>
      </c>
      <c r="H51" s="5" t="s">
        <v>475</v>
      </c>
      <c r="I51" s="13" t="s">
        <v>208</v>
      </c>
      <c r="J51" s="13" t="s">
        <v>50</v>
      </c>
      <c r="K51" s="9" t="n">
        <v>2</v>
      </c>
      <c r="L51" s="9"/>
      <c r="M51" s="13" t="str">
        <f aca="false">IF(ISNUMBER(L51),IF(L51&lt;K51,"Gap","OK"),IF(L51="N/A","N/A",""))</f>
        <v/>
      </c>
      <c r="N51" s="9"/>
      <c r="O51" s="9"/>
      <c r="P51" s="13" t="str">
        <f aca="false">IF(AND(M51="Gap",N51&lt;&gt;"",O51&lt;&gt;""),VLOOKUP(N51&amp;O51,Lists!$H$4:$I$12,2,FALSE()),"")</f>
        <v/>
      </c>
      <c r="Q51" s="13" t="str">
        <f aca="false">IF(AND(M51="Gap",O51="S",OR(N51="H",N51="M")),"Yes","")</f>
        <v/>
      </c>
      <c r="R51" s="9" t="s">
        <v>50</v>
      </c>
      <c r="S51" s="14" t="str">
        <f aca="false">IF(A51="","",IFERROR(IF(OR(VLOOKUP(A51,AutoEvidence!$A$2:$G$400,2,FALSE())="Collected",VLOOKUP(A51,AutoEvidence!$A$2:$G$400,2,FALSE())="Partial"),VLOOKUP(A51,AutoEvidence!$A$2:$G$400,3,FALSE())&amp;" ("&amp;VLOOKUP(A51,AutoEvidence!$A$2:$G$400,2,FALSE())&amp;")",VLOOKUP(A51,AutoEvidence!$A$2:$G$400,2,FALSE())),""))</f>
        <v/>
      </c>
      <c r="T51" s="7" t="str">
        <f aca="false">IF(A51="","",IFERROR(VLOOKUP(A51,AutoEvidence!$A$2:$G$400,4,FALSE())&amp;"",""))</f>
        <v/>
      </c>
      <c r="U51" s="6"/>
      <c r="V51" s="6"/>
      <c r="W51" s="9"/>
      <c r="X51" s="6"/>
      <c r="Y51" s="6"/>
      <c r="Z51" s="9"/>
      <c r="AA51" s="15"/>
      <c r="AB51" s="13" t="str">
        <f aca="false">IF(M51="Gap",1,IF(M51="OK",0,""))</f>
        <v/>
      </c>
      <c r="AC51" s="16" t="str">
        <f aca="false">IF(P51&lt;&gt;"",VALUE(RIGHT(P51,1))*1000+ROW(),"")</f>
        <v/>
      </c>
      <c r="AD51" s="16" t="str">
        <f aca="false">IF(ISNUMBER(L51),MIN(L51,K51),"")</f>
        <v/>
      </c>
      <c r="AE51" s="16" t="str">
        <f aca="false">IF(AND(ISNUMBER(SEARCH(" PA "," "&amp;SUBSTITUTE($I51,","," ")&amp;" ")),ISNUMBER($L51)),$L51,"")</f>
        <v/>
      </c>
      <c r="AF51" s="16" t="str">
        <f aca="false">IF(AND(ISNUMBER(SEARCH(" PO "," "&amp;SUBSTITUTE($I51,","," ")&amp;" ")),ISNUMBER($L51)),$L51,"")</f>
        <v/>
      </c>
      <c r="AG51" s="16" t="str">
        <f aca="false">IF(AND(ISNUMBER(SEARCH(" MFA "," "&amp;SUBSTITUTE($I51,","," ")&amp;" ")),ISNUMBER($L51)),$L51,"")</f>
        <v/>
      </c>
      <c r="AH51" s="16" t="str">
        <f aca="false">IF(AND(ISNUMBER(SEARCH(" RAP "," "&amp;SUBSTITUTE($I51,","," ")&amp;" ")),ISNUMBER($L51)),$L51,"")</f>
        <v/>
      </c>
      <c r="AI51" s="16" t="str">
        <f aca="false">IF(AND(ISNUMBER(SEARCH(" AC "," "&amp;SUBSTITUTE($I51,","," ")&amp;" ")),ISNUMBER($L51)),$L51,"")</f>
        <v/>
      </c>
      <c r="AJ51" s="16" t="str">
        <f aca="false">IF(AND(ISNUMBER(SEARCH(" MAC "," "&amp;SUBSTITUTE($I51,","," ")&amp;" ")),ISNUMBER($L51)),$L51,"")</f>
        <v/>
      </c>
      <c r="AK51" s="16" t="str">
        <f aca="false">IF(AND(ISNUMBER(SEARCH(" UAH "," "&amp;SUBSTITUTE($I51,","," ")&amp;" ")),ISNUMBER($L51)),$L51,"")</f>
        <v/>
      </c>
      <c r="AL51" s="16" t="str">
        <f aca="false">IF(AND(ISNUMBER(SEARCH(" RB "," "&amp;SUBSTITUTE($I51,","," ")&amp;" ")),ISNUMBER($L51)),$L51,"")</f>
        <v/>
      </c>
    </row>
    <row r="52" customFormat="false" ht="81.75" hidden="false" customHeight="true" outlineLevel="0" collapsed="false">
      <c r="A52" s="17" t="s">
        <v>476</v>
      </c>
      <c r="B52" s="18" t="s">
        <v>444</v>
      </c>
      <c r="C52" s="18" t="s">
        <v>445</v>
      </c>
      <c r="D52" s="5" t="s">
        <v>477</v>
      </c>
      <c r="E52" s="5" t="s">
        <v>478</v>
      </c>
      <c r="F52" s="5" t="s">
        <v>479</v>
      </c>
      <c r="G52" s="5" t="s">
        <v>480</v>
      </c>
      <c r="H52" s="5" t="s">
        <v>481</v>
      </c>
      <c r="I52" s="13" t="s">
        <v>354</v>
      </c>
      <c r="J52" s="13" t="s">
        <v>48</v>
      </c>
      <c r="K52" s="9" t="n">
        <v>2</v>
      </c>
      <c r="L52" s="9"/>
      <c r="M52" s="13" t="str">
        <f aca="false">IF(ISNUMBER(L52),IF(L52&lt;K52,"Gap","OK"),IF(L52="N/A","N/A",""))</f>
        <v/>
      </c>
      <c r="N52" s="9"/>
      <c r="O52" s="9"/>
      <c r="P52" s="13" t="str">
        <f aca="false">IF(AND(M52="Gap",N52&lt;&gt;"",O52&lt;&gt;""),VLOOKUP(N52&amp;O52,Lists!$H$4:$I$12,2,FALSE()),"")</f>
        <v/>
      </c>
      <c r="Q52" s="13" t="str">
        <f aca="false">IF(AND(M52="Gap",O52="S",OR(N52="H",N52="M")),"Yes","")</f>
        <v/>
      </c>
      <c r="R52" s="9" t="s">
        <v>48</v>
      </c>
      <c r="S52" s="14" t="str">
        <f aca="false">IF(A52="","",IFERROR(IF(OR(VLOOKUP(A52,AutoEvidence!$A$2:$G$400,2,FALSE())="Collected",VLOOKUP(A52,AutoEvidence!$A$2:$G$400,2,FALSE())="Partial"),VLOOKUP(A52,AutoEvidence!$A$2:$G$400,3,FALSE())&amp;" ("&amp;VLOOKUP(A52,AutoEvidence!$A$2:$G$400,2,FALSE())&amp;")",VLOOKUP(A52,AutoEvidence!$A$2:$G$400,2,FALSE())),""))</f>
        <v/>
      </c>
      <c r="T52" s="7" t="str">
        <f aca="false">IF(A52="","",IFERROR(VLOOKUP(A52,AutoEvidence!$A$2:$G$400,4,FALSE())&amp;"",""))</f>
        <v/>
      </c>
      <c r="U52" s="6"/>
      <c r="V52" s="6"/>
      <c r="W52" s="9"/>
      <c r="X52" s="6"/>
      <c r="Y52" s="6"/>
      <c r="Z52" s="9"/>
      <c r="AA52" s="15"/>
      <c r="AB52" s="13" t="str">
        <f aca="false">IF(M52="Gap",1,IF(M52="OK",0,""))</f>
        <v/>
      </c>
      <c r="AC52" s="16" t="str">
        <f aca="false">IF(P52&lt;&gt;"",VALUE(RIGHT(P52,1))*1000+ROW(),"")</f>
        <v/>
      </c>
      <c r="AD52" s="16" t="str">
        <f aca="false">IF(ISNUMBER(L52),MIN(L52,K52),"")</f>
        <v/>
      </c>
      <c r="AE52" s="16" t="str">
        <f aca="false">IF(AND(ISNUMBER(SEARCH(" PA "," "&amp;SUBSTITUTE($I52,","," ")&amp;" ")),ISNUMBER($L52)),$L52,"")</f>
        <v/>
      </c>
      <c r="AF52" s="16" t="str">
        <f aca="false">IF(AND(ISNUMBER(SEARCH(" PO "," "&amp;SUBSTITUTE($I52,","," ")&amp;" ")),ISNUMBER($L52)),$L52,"")</f>
        <v/>
      </c>
      <c r="AG52" s="16" t="str">
        <f aca="false">IF(AND(ISNUMBER(SEARCH(" MFA "," "&amp;SUBSTITUTE($I52,","," ")&amp;" ")),ISNUMBER($L52)),$L52,"")</f>
        <v/>
      </c>
      <c r="AH52" s="16" t="str">
        <f aca="false">IF(AND(ISNUMBER(SEARCH(" RAP "," "&amp;SUBSTITUTE($I52,","," ")&amp;" ")),ISNUMBER($L52)),$L52,"")</f>
        <v/>
      </c>
      <c r="AI52" s="16" t="str">
        <f aca="false">IF(AND(ISNUMBER(SEARCH(" AC "," "&amp;SUBSTITUTE($I52,","," ")&amp;" ")),ISNUMBER($L52)),$L52,"")</f>
        <v/>
      </c>
      <c r="AJ52" s="16" t="str">
        <f aca="false">IF(AND(ISNUMBER(SEARCH(" MAC "," "&amp;SUBSTITUTE($I52,","," ")&amp;" ")),ISNUMBER($L52)),$L52,"")</f>
        <v/>
      </c>
      <c r="AK52" s="16" t="str">
        <f aca="false">IF(AND(ISNUMBER(SEARCH(" UAH "," "&amp;SUBSTITUTE($I52,","," ")&amp;" ")),ISNUMBER($L52)),$L52,"")</f>
        <v/>
      </c>
      <c r="AL52" s="16" t="str">
        <f aca="false">IF(AND(ISNUMBER(SEARCH(" RB "," "&amp;SUBSTITUTE($I52,","," ")&amp;" ")),ISNUMBER($L52)),$L52,"")</f>
        <v/>
      </c>
    </row>
    <row r="53" customFormat="false" ht="55.5" hidden="false" customHeight="true" outlineLevel="0" collapsed="false">
      <c r="A53" s="17" t="s">
        <v>482</v>
      </c>
      <c r="B53" s="18" t="s">
        <v>444</v>
      </c>
      <c r="C53" s="18" t="s">
        <v>445</v>
      </c>
      <c r="D53" s="5" t="s">
        <v>483</v>
      </c>
      <c r="E53" s="5" t="s">
        <v>484</v>
      </c>
      <c r="F53" s="5" t="s">
        <v>485</v>
      </c>
      <c r="G53" s="5" t="s">
        <v>486</v>
      </c>
      <c r="H53" s="5" t="s">
        <v>487</v>
      </c>
      <c r="I53" s="13"/>
      <c r="J53" s="13" t="s">
        <v>50</v>
      </c>
      <c r="K53" s="9" t="n">
        <v>2</v>
      </c>
      <c r="L53" s="9"/>
      <c r="M53" s="13" t="str">
        <f aca="false">IF(ISNUMBER(L53),IF(L53&lt;K53,"Gap","OK"),IF(L53="N/A","N/A",""))</f>
        <v/>
      </c>
      <c r="N53" s="9"/>
      <c r="O53" s="9"/>
      <c r="P53" s="13" t="str">
        <f aca="false">IF(AND(M53="Gap",N53&lt;&gt;"",O53&lt;&gt;""),VLOOKUP(N53&amp;O53,Lists!$H$4:$I$12,2,FALSE()),"")</f>
        <v/>
      </c>
      <c r="Q53" s="13" t="str">
        <f aca="false">IF(AND(M53="Gap",O53="S",OR(N53="H",N53="M")),"Yes","")</f>
        <v/>
      </c>
      <c r="R53" s="9" t="s">
        <v>50</v>
      </c>
      <c r="S53" s="14" t="str">
        <f aca="false">IF(A53="","",IFERROR(IF(OR(VLOOKUP(A53,AutoEvidence!$A$2:$G$400,2,FALSE())="Collected",VLOOKUP(A53,AutoEvidence!$A$2:$G$400,2,FALSE())="Partial"),VLOOKUP(A53,AutoEvidence!$A$2:$G$400,3,FALSE())&amp;" ("&amp;VLOOKUP(A53,AutoEvidence!$A$2:$G$400,2,FALSE())&amp;")",VLOOKUP(A53,AutoEvidence!$A$2:$G$400,2,FALSE())),""))</f>
        <v/>
      </c>
      <c r="T53" s="7" t="str">
        <f aca="false">IF(A53="","",IFERROR(VLOOKUP(A53,AutoEvidence!$A$2:$G$400,4,FALSE())&amp;"",""))</f>
        <v/>
      </c>
      <c r="U53" s="6"/>
      <c r="V53" s="6"/>
      <c r="W53" s="9"/>
      <c r="X53" s="6"/>
      <c r="Y53" s="6"/>
      <c r="Z53" s="9"/>
      <c r="AA53" s="15"/>
      <c r="AB53" s="13" t="str">
        <f aca="false">IF(M53="Gap",1,IF(M53="OK",0,""))</f>
        <v/>
      </c>
      <c r="AC53" s="16" t="str">
        <f aca="false">IF(P53&lt;&gt;"",VALUE(RIGHT(P53,1))*1000+ROW(),"")</f>
        <v/>
      </c>
      <c r="AD53" s="16" t="str">
        <f aca="false">IF(ISNUMBER(L53),MIN(L53,K53),"")</f>
        <v/>
      </c>
      <c r="AE53" s="16" t="str">
        <f aca="false">IF(AND(ISNUMBER(SEARCH(" PA "," "&amp;SUBSTITUTE($I53,","," ")&amp;" ")),ISNUMBER($L53)),$L53,"")</f>
        <v/>
      </c>
      <c r="AF53" s="16" t="str">
        <f aca="false">IF(AND(ISNUMBER(SEARCH(" PO "," "&amp;SUBSTITUTE($I53,","," ")&amp;" ")),ISNUMBER($L53)),$L53,"")</f>
        <v/>
      </c>
      <c r="AG53" s="16" t="str">
        <f aca="false">IF(AND(ISNUMBER(SEARCH(" MFA "," "&amp;SUBSTITUTE($I53,","," ")&amp;" ")),ISNUMBER($L53)),$L53,"")</f>
        <v/>
      </c>
      <c r="AH53" s="16" t="str">
        <f aca="false">IF(AND(ISNUMBER(SEARCH(" RAP "," "&amp;SUBSTITUTE($I53,","," ")&amp;" ")),ISNUMBER($L53)),$L53,"")</f>
        <v/>
      </c>
      <c r="AI53" s="16" t="str">
        <f aca="false">IF(AND(ISNUMBER(SEARCH(" AC "," "&amp;SUBSTITUTE($I53,","," ")&amp;" ")),ISNUMBER($L53)),$L53,"")</f>
        <v/>
      </c>
      <c r="AJ53" s="16" t="str">
        <f aca="false">IF(AND(ISNUMBER(SEARCH(" MAC "," "&amp;SUBSTITUTE($I53,","," ")&amp;" ")),ISNUMBER($L53)),$L53,"")</f>
        <v/>
      </c>
      <c r="AK53" s="16" t="str">
        <f aca="false">IF(AND(ISNUMBER(SEARCH(" UAH "," "&amp;SUBSTITUTE($I53,","," ")&amp;" ")),ISNUMBER($L53)),$L53,"")</f>
        <v/>
      </c>
      <c r="AL53" s="16" t="str">
        <f aca="false">IF(AND(ISNUMBER(SEARCH(" RB "," "&amp;SUBSTITUTE($I53,","," ")&amp;" ")),ISNUMBER($L53)),$L53,"")</f>
        <v/>
      </c>
    </row>
    <row r="54" customFormat="false" ht="55.5" hidden="false" customHeight="true" outlineLevel="0" collapsed="false">
      <c r="A54" s="17" t="s">
        <v>488</v>
      </c>
      <c r="B54" s="18" t="s">
        <v>444</v>
      </c>
      <c r="C54" s="18" t="s">
        <v>445</v>
      </c>
      <c r="D54" s="5" t="s">
        <v>489</v>
      </c>
      <c r="E54" s="5" t="s">
        <v>490</v>
      </c>
      <c r="F54" s="5" t="s">
        <v>491</v>
      </c>
      <c r="G54" s="5" t="s">
        <v>492</v>
      </c>
      <c r="H54" s="5" t="s">
        <v>493</v>
      </c>
      <c r="I54" s="13"/>
      <c r="J54" s="13" t="s">
        <v>50</v>
      </c>
      <c r="K54" s="9" t="n">
        <v>2</v>
      </c>
      <c r="L54" s="9"/>
      <c r="M54" s="13" t="str">
        <f aca="false">IF(ISNUMBER(L54),IF(L54&lt;K54,"Gap","OK"),IF(L54="N/A","N/A",""))</f>
        <v/>
      </c>
      <c r="N54" s="9"/>
      <c r="O54" s="9"/>
      <c r="P54" s="13" t="str">
        <f aca="false">IF(AND(M54="Gap",N54&lt;&gt;"",O54&lt;&gt;""),VLOOKUP(N54&amp;O54,Lists!$H$4:$I$12,2,FALSE()),"")</f>
        <v/>
      </c>
      <c r="Q54" s="13" t="str">
        <f aca="false">IF(AND(M54="Gap",O54="S",OR(N54="H",N54="M")),"Yes","")</f>
        <v/>
      </c>
      <c r="R54" s="9" t="s">
        <v>50</v>
      </c>
      <c r="S54" s="14" t="str">
        <f aca="false">IF(A54="","",IFERROR(IF(OR(VLOOKUP(A54,AutoEvidence!$A$2:$G$400,2,FALSE())="Collected",VLOOKUP(A54,AutoEvidence!$A$2:$G$400,2,FALSE())="Partial"),VLOOKUP(A54,AutoEvidence!$A$2:$G$400,3,FALSE())&amp;" ("&amp;VLOOKUP(A54,AutoEvidence!$A$2:$G$400,2,FALSE())&amp;")",VLOOKUP(A54,AutoEvidence!$A$2:$G$400,2,FALSE())),""))</f>
        <v/>
      </c>
      <c r="T54" s="7" t="str">
        <f aca="false">IF(A54="","",IFERROR(VLOOKUP(A54,AutoEvidence!$A$2:$G$400,4,FALSE())&amp;"",""))</f>
        <v/>
      </c>
      <c r="U54" s="6"/>
      <c r="V54" s="6"/>
      <c r="W54" s="9"/>
      <c r="X54" s="6"/>
      <c r="Y54" s="6"/>
      <c r="Z54" s="9"/>
      <c r="AA54" s="15"/>
      <c r="AB54" s="13" t="str">
        <f aca="false">IF(M54="Gap",1,IF(M54="OK",0,""))</f>
        <v/>
      </c>
      <c r="AC54" s="16" t="str">
        <f aca="false">IF(P54&lt;&gt;"",VALUE(RIGHT(P54,1))*1000+ROW(),"")</f>
        <v/>
      </c>
      <c r="AD54" s="16" t="str">
        <f aca="false">IF(ISNUMBER(L54),MIN(L54,K54),"")</f>
        <v/>
      </c>
      <c r="AE54" s="16" t="str">
        <f aca="false">IF(AND(ISNUMBER(SEARCH(" PA "," "&amp;SUBSTITUTE($I54,","," ")&amp;" ")),ISNUMBER($L54)),$L54,"")</f>
        <v/>
      </c>
      <c r="AF54" s="16" t="str">
        <f aca="false">IF(AND(ISNUMBER(SEARCH(" PO "," "&amp;SUBSTITUTE($I54,","," ")&amp;" ")),ISNUMBER($L54)),$L54,"")</f>
        <v/>
      </c>
      <c r="AG54" s="16" t="str">
        <f aca="false">IF(AND(ISNUMBER(SEARCH(" MFA "," "&amp;SUBSTITUTE($I54,","," ")&amp;" ")),ISNUMBER($L54)),$L54,"")</f>
        <v/>
      </c>
      <c r="AH54" s="16" t="str">
        <f aca="false">IF(AND(ISNUMBER(SEARCH(" RAP "," "&amp;SUBSTITUTE($I54,","," ")&amp;" ")),ISNUMBER($L54)),$L54,"")</f>
        <v/>
      </c>
      <c r="AI54" s="16" t="str">
        <f aca="false">IF(AND(ISNUMBER(SEARCH(" AC "," "&amp;SUBSTITUTE($I54,","," ")&amp;" ")),ISNUMBER($L54)),$L54,"")</f>
        <v/>
      </c>
      <c r="AJ54" s="16" t="str">
        <f aca="false">IF(AND(ISNUMBER(SEARCH(" MAC "," "&amp;SUBSTITUTE($I54,","," ")&amp;" ")),ISNUMBER($L54)),$L54,"")</f>
        <v/>
      </c>
      <c r="AK54" s="16" t="str">
        <f aca="false">IF(AND(ISNUMBER(SEARCH(" UAH "," "&amp;SUBSTITUTE($I54,","," ")&amp;" ")),ISNUMBER($L54)),$L54,"")</f>
        <v/>
      </c>
      <c r="AL54" s="16" t="str">
        <f aca="false">IF(AND(ISNUMBER(SEARCH(" RB "," "&amp;SUBSTITUTE($I54,","," ")&amp;" ")),ISNUMBER($L54)),$L54,"")</f>
        <v/>
      </c>
    </row>
    <row r="55" customFormat="false" ht="69" hidden="false" customHeight="true" outlineLevel="0" collapsed="false">
      <c r="A55" s="17" t="s">
        <v>494</v>
      </c>
      <c r="B55" s="18" t="s">
        <v>444</v>
      </c>
      <c r="C55" s="18" t="s">
        <v>445</v>
      </c>
      <c r="D55" s="5" t="s">
        <v>495</v>
      </c>
      <c r="E55" s="5" t="s">
        <v>496</v>
      </c>
      <c r="F55" s="5" t="s">
        <v>497</v>
      </c>
      <c r="G55" s="5" t="s">
        <v>498</v>
      </c>
      <c r="H55" s="5" t="s">
        <v>499</v>
      </c>
      <c r="I55" s="13" t="s">
        <v>500</v>
      </c>
      <c r="J55" s="13" t="s">
        <v>48</v>
      </c>
      <c r="K55" s="9" t="n">
        <v>2</v>
      </c>
      <c r="L55" s="9"/>
      <c r="M55" s="13" t="str">
        <f aca="false">IF(ISNUMBER(L55),IF(L55&lt;K55,"Gap","OK"),IF(L55="N/A","N/A",""))</f>
        <v/>
      </c>
      <c r="N55" s="9"/>
      <c r="O55" s="9"/>
      <c r="P55" s="13" t="str">
        <f aca="false">IF(AND(M55="Gap",N55&lt;&gt;"",O55&lt;&gt;""),VLOOKUP(N55&amp;O55,Lists!$H$4:$I$12,2,FALSE()),"")</f>
        <v/>
      </c>
      <c r="Q55" s="13" t="str">
        <f aca="false">IF(AND(M55="Gap",O55="S",OR(N55="H",N55="M")),"Yes","")</f>
        <v/>
      </c>
      <c r="R55" s="9" t="s">
        <v>48</v>
      </c>
      <c r="S55" s="14" t="str">
        <f aca="false">IF(A55="","",IFERROR(IF(OR(VLOOKUP(A55,AutoEvidence!$A$2:$G$400,2,FALSE())="Collected",VLOOKUP(A55,AutoEvidence!$A$2:$G$400,2,FALSE())="Partial"),VLOOKUP(A55,AutoEvidence!$A$2:$G$400,3,FALSE())&amp;" ("&amp;VLOOKUP(A55,AutoEvidence!$A$2:$G$400,2,FALSE())&amp;")",VLOOKUP(A55,AutoEvidence!$A$2:$G$400,2,FALSE())),""))</f>
        <v/>
      </c>
      <c r="T55" s="7" t="str">
        <f aca="false">IF(A55="","",IFERROR(VLOOKUP(A55,AutoEvidence!$A$2:$G$400,4,FALSE())&amp;"",""))</f>
        <v/>
      </c>
      <c r="U55" s="6"/>
      <c r="V55" s="6"/>
      <c r="W55" s="9"/>
      <c r="X55" s="6"/>
      <c r="Y55" s="6"/>
      <c r="Z55" s="9"/>
      <c r="AA55" s="15"/>
      <c r="AB55" s="13" t="str">
        <f aca="false">IF(M55="Gap",1,IF(M55="OK",0,""))</f>
        <v/>
      </c>
      <c r="AC55" s="16" t="str">
        <f aca="false">IF(P55&lt;&gt;"",VALUE(RIGHT(P55,1))*1000+ROW(),"")</f>
        <v/>
      </c>
      <c r="AD55" s="16" t="str">
        <f aca="false">IF(ISNUMBER(L55),MIN(L55,K55),"")</f>
        <v/>
      </c>
      <c r="AE55" s="16" t="str">
        <f aca="false">IF(AND(ISNUMBER(SEARCH(" PA "," "&amp;SUBSTITUTE($I55,","," ")&amp;" ")),ISNUMBER($L55)),$L55,"")</f>
        <v/>
      </c>
      <c r="AF55" s="16" t="str">
        <f aca="false">IF(AND(ISNUMBER(SEARCH(" PO "," "&amp;SUBSTITUTE($I55,","," ")&amp;" ")),ISNUMBER($L55)),$L55,"")</f>
        <v/>
      </c>
      <c r="AG55" s="16" t="str">
        <f aca="false">IF(AND(ISNUMBER(SEARCH(" MFA "," "&amp;SUBSTITUTE($I55,","," ")&amp;" ")),ISNUMBER($L55)),$L55,"")</f>
        <v/>
      </c>
      <c r="AH55" s="16" t="str">
        <f aca="false">IF(AND(ISNUMBER(SEARCH(" RAP "," "&amp;SUBSTITUTE($I55,","," ")&amp;" ")),ISNUMBER($L55)),$L55,"")</f>
        <v/>
      </c>
      <c r="AI55" s="16" t="str">
        <f aca="false">IF(AND(ISNUMBER(SEARCH(" AC "," "&amp;SUBSTITUTE($I55,","," ")&amp;" ")),ISNUMBER($L55)),$L55,"")</f>
        <v/>
      </c>
      <c r="AJ55" s="16" t="str">
        <f aca="false">IF(AND(ISNUMBER(SEARCH(" MAC "," "&amp;SUBSTITUTE($I55,","," ")&amp;" ")),ISNUMBER($L55)),$L55,"")</f>
        <v/>
      </c>
      <c r="AK55" s="16" t="str">
        <f aca="false">IF(AND(ISNUMBER(SEARCH(" UAH "," "&amp;SUBSTITUTE($I55,","," ")&amp;" ")),ISNUMBER($L55)),$L55,"")</f>
        <v/>
      </c>
      <c r="AL55" s="16" t="str">
        <f aca="false">IF(AND(ISNUMBER(SEARCH(" RB "," "&amp;SUBSTITUTE($I55,","," ")&amp;" ")),ISNUMBER($L55)),$L55,"")</f>
        <v/>
      </c>
    </row>
    <row r="56" customFormat="false" ht="81.75" hidden="false" customHeight="true" outlineLevel="0" collapsed="false">
      <c r="A56" s="17" t="s">
        <v>501</v>
      </c>
      <c r="B56" s="18" t="s">
        <v>444</v>
      </c>
      <c r="C56" s="18" t="s">
        <v>445</v>
      </c>
      <c r="D56" s="5" t="s">
        <v>502</v>
      </c>
      <c r="E56" s="5" t="s">
        <v>503</v>
      </c>
      <c r="F56" s="5" t="s">
        <v>504</v>
      </c>
      <c r="G56" s="5" t="s">
        <v>505</v>
      </c>
      <c r="H56" s="5" t="s">
        <v>506</v>
      </c>
      <c r="I56" s="13"/>
      <c r="J56" s="13" t="s">
        <v>50</v>
      </c>
      <c r="K56" s="9" t="n">
        <v>2</v>
      </c>
      <c r="L56" s="9"/>
      <c r="M56" s="13" t="str">
        <f aca="false">IF(ISNUMBER(L56),IF(L56&lt;K56,"Gap","OK"),IF(L56="N/A","N/A",""))</f>
        <v/>
      </c>
      <c r="N56" s="9"/>
      <c r="O56" s="9"/>
      <c r="P56" s="13" t="str">
        <f aca="false">IF(AND(M56="Gap",N56&lt;&gt;"",O56&lt;&gt;""),VLOOKUP(N56&amp;O56,Lists!$H$4:$I$12,2,FALSE()),"")</f>
        <v/>
      </c>
      <c r="Q56" s="13" t="str">
        <f aca="false">IF(AND(M56="Gap",O56="S",OR(N56="H",N56="M")),"Yes","")</f>
        <v/>
      </c>
      <c r="R56" s="9" t="s">
        <v>50</v>
      </c>
      <c r="S56" s="14" t="str">
        <f aca="false">IF(A56="","",IFERROR(IF(OR(VLOOKUP(A56,AutoEvidence!$A$2:$G$400,2,FALSE())="Collected",VLOOKUP(A56,AutoEvidence!$A$2:$G$400,2,FALSE())="Partial"),VLOOKUP(A56,AutoEvidence!$A$2:$G$400,3,FALSE())&amp;" ("&amp;VLOOKUP(A56,AutoEvidence!$A$2:$G$400,2,FALSE())&amp;")",VLOOKUP(A56,AutoEvidence!$A$2:$G$400,2,FALSE())),""))</f>
        <v/>
      </c>
      <c r="T56" s="7" t="str">
        <f aca="false">IF(A56="","",IFERROR(VLOOKUP(A56,AutoEvidence!$A$2:$G$400,4,FALSE())&amp;"",""))</f>
        <v/>
      </c>
      <c r="U56" s="6"/>
      <c r="V56" s="6"/>
      <c r="W56" s="9"/>
      <c r="X56" s="6"/>
      <c r="Y56" s="6"/>
      <c r="Z56" s="9"/>
      <c r="AA56" s="15"/>
      <c r="AB56" s="13" t="str">
        <f aca="false">IF(M56="Gap",1,IF(M56="OK",0,""))</f>
        <v/>
      </c>
      <c r="AC56" s="16" t="str">
        <f aca="false">IF(P56&lt;&gt;"",VALUE(RIGHT(P56,1))*1000+ROW(),"")</f>
        <v/>
      </c>
      <c r="AD56" s="16" t="str">
        <f aca="false">IF(ISNUMBER(L56),MIN(L56,K56),"")</f>
        <v/>
      </c>
      <c r="AE56" s="16" t="str">
        <f aca="false">IF(AND(ISNUMBER(SEARCH(" PA "," "&amp;SUBSTITUTE($I56,","," ")&amp;" ")),ISNUMBER($L56)),$L56,"")</f>
        <v/>
      </c>
      <c r="AF56" s="16" t="str">
        <f aca="false">IF(AND(ISNUMBER(SEARCH(" PO "," "&amp;SUBSTITUTE($I56,","," ")&amp;" ")),ISNUMBER($L56)),$L56,"")</f>
        <v/>
      </c>
      <c r="AG56" s="16" t="str">
        <f aca="false">IF(AND(ISNUMBER(SEARCH(" MFA "," "&amp;SUBSTITUTE($I56,","," ")&amp;" ")),ISNUMBER($L56)),$L56,"")</f>
        <v/>
      </c>
      <c r="AH56" s="16" t="str">
        <f aca="false">IF(AND(ISNUMBER(SEARCH(" RAP "," "&amp;SUBSTITUTE($I56,","," ")&amp;" ")),ISNUMBER($L56)),$L56,"")</f>
        <v/>
      </c>
      <c r="AI56" s="16" t="str">
        <f aca="false">IF(AND(ISNUMBER(SEARCH(" AC "," "&amp;SUBSTITUTE($I56,","," ")&amp;" ")),ISNUMBER($L56)),$L56,"")</f>
        <v/>
      </c>
      <c r="AJ56" s="16" t="str">
        <f aca="false">IF(AND(ISNUMBER(SEARCH(" MAC "," "&amp;SUBSTITUTE($I56,","," ")&amp;" ")),ISNUMBER($L56)),$L56,"")</f>
        <v/>
      </c>
      <c r="AK56" s="16" t="str">
        <f aca="false">IF(AND(ISNUMBER(SEARCH(" UAH "," "&amp;SUBSTITUTE($I56,","," ")&amp;" ")),ISNUMBER($L56)),$L56,"")</f>
        <v/>
      </c>
      <c r="AL56" s="16" t="str">
        <f aca="false">IF(AND(ISNUMBER(SEARCH(" RB "," "&amp;SUBSTITUTE($I56,","," ")&amp;" ")),ISNUMBER($L56)),$L56,"")</f>
        <v/>
      </c>
    </row>
    <row r="57" customFormat="false" ht="42.75" hidden="false" customHeight="true" outlineLevel="0" collapsed="false">
      <c r="A57" s="17" t="s">
        <v>507</v>
      </c>
      <c r="B57" s="18" t="s">
        <v>444</v>
      </c>
      <c r="C57" s="18" t="s">
        <v>445</v>
      </c>
      <c r="D57" s="5" t="s">
        <v>508</v>
      </c>
      <c r="E57" s="5" t="s">
        <v>509</v>
      </c>
      <c r="F57" s="5" t="s">
        <v>510</v>
      </c>
      <c r="G57" s="5" t="s">
        <v>511</v>
      </c>
      <c r="H57" s="5" t="s">
        <v>512</v>
      </c>
      <c r="I57" s="13"/>
      <c r="J57" s="13" t="s">
        <v>46</v>
      </c>
      <c r="K57" s="9" t="n">
        <v>2</v>
      </c>
      <c r="L57" s="9"/>
      <c r="M57" s="13" t="str">
        <f aca="false">IF(ISNUMBER(L57),IF(L57&lt;K57,"Gap","OK"),IF(L57="N/A","N/A",""))</f>
        <v/>
      </c>
      <c r="N57" s="9"/>
      <c r="O57" s="9"/>
      <c r="P57" s="13" t="str">
        <f aca="false">IF(AND(M57="Gap",N57&lt;&gt;"",O57&lt;&gt;""),VLOOKUP(N57&amp;O57,Lists!$H$4:$I$12,2,FALSE()),"")</f>
        <v/>
      </c>
      <c r="Q57" s="13" t="str">
        <f aca="false">IF(AND(M57="Gap",O57="S",OR(N57="H",N57="M")),"Yes","")</f>
        <v/>
      </c>
      <c r="R57" s="9" t="s">
        <v>46</v>
      </c>
      <c r="S57" s="14" t="str">
        <f aca="false">IF(A57="","",IFERROR(IF(OR(VLOOKUP(A57,AutoEvidence!$A$2:$G$400,2,FALSE())="Collected",VLOOKUP(A57,AutoEvidence!$A$2:$G$400,2,FALSE())="Partial"),VLOOKUP(A57,AutoEvidence!$A$2:$G$400,3,FALSE())&amp;" ("&amp;VLOOKUP(A57,AutoEvidence!$A$2:$G$400,2,FALSE())&amp;")",VLOOKUP(A57,AutoEvidence!$A$2:$G$400,2,FALSE())),""))</f>
        <v/>
      </c>
      <c r="T57" s="7" t="str">
        <f aca="false">IF(A57="","",IFERROR(VLOOKUP(A57,AutoEvidence!$A$2:$G$400,4,FALSE())&amp;"",""))</f>
        <v/>
      </c>
      <c r="U57" s="6"/>
      <c r="V57" s="6"/>
      <c r="W57" s="9"/>
      <c r="X57" s="6"/>
      <c r="Y57" s="6"/>
      <c r="Z57" s="9"/>
      <c r="AA57" s="15"/>
      <c r="AB57" s="13" t="str">
        <f aca="false">IF(M57="Gap",1,IF(M57="OK",0,""))</f>
        <v/>
      </c>
      <c r="AC57" s="16" t="str">
        <f aca="false">IF(P57&lt;&gt;"",VALUE(RIGHT(P57,1))*1000+ROW(),"")</f>
        <v/>
      </c>
      <c r="AD57" s="16" t="str">
        <f aca="false">IF(ISNUMBER(L57),MIN(L57,K57),"")</f>
        <v/>
      </c>
      <c r="AE57" s="16" t="str">
        <f aca="false">IF(AND(ISNUMBER(SEARCH(" PA "," "&amp;SUBSTITUTE($I57,","," ")&amp;" ")),ISNUMBER($L57)),$L57,"")</f>
        <v/>
      </c>
      <c r="AF57" s="16" t="str">
        <f aca="false">IF(AND(ISNUMBER(SEARCH(" PO "," "&amp;SUBSTITUTE($I57,","," ")&amp;" ")),ISNUMBER($L57)),$L57,"")</f>
        <v/>
      </c>
      <c r="AG57" s="16" t="str">
        <f aca="false">IF(AND(ISNUMBER(SEARCH(" MFA "," "&amp;SUBSTITUTE($I57,","," ")&amp;" ")),ISNUMBER($L57)),$L57,"")</f>
        <v/>
      </c>
      <c r="AH57" s="16" t="str">
        <f aca="false">IF(AND(ISNUMBER(SEARCH(" RAP "," "&amp;SUBSTITUTE($I57,","," ")&amp;" ")),ISNUMBER($L57)),$L57,"")</f>
        <v/>
      </c>
      <c r="AI57" s="16" t="str">
        <f aca="false">IF(AND(ISNUMBER(SEARCH(" AC "," "&amp;SUBSTITUTE($I57,","," ")&amp;" ")),ISNUMBER($L57)),$L57,"")</f>
        <v/>
      </c>
      <c r="AJ57" s="16" t="str">
        <f aca="false">IF(AND(ISNUMBER(SEARCH(" MAC "," "&amp;SUBSTITUTE($I57,","," ")&amp;" ")),ISNUMBER($L57)),$L57,"")</f>
        <v/>
      </c>
      <c r="AK57" s="16" t="str">
        <f aca="false">IF(AND(ISNUMBER(SEARCH(" UAH "," "&amp;SUBSTITUTE($I57,","," ")&amp;" ")),ISNUMBER($L57)),$L57,"")</f>
        <v/>
      </c>
      <c r="AL57" s="16" t="str">
        <f aca="false">IF(AND(ISNUMBER(SEARCH(" RB "," "&amp;SUBSTITUTE($I57,","," ")&amp;" ")),ISNUMBER($L57)),$L57,"")</f>
        <v/>
      </c>
    </row>
    <row r="58" customFormat="false" ht="55.5" hidden="false" customHeight="true" outlineLevel="0" collapsed="false">
      <c r="A58" s="17" t="s">
        <v>513</v>
      </c>
      <c r="B58" s="18" t="s">
        <v>444</v>
      </c>
      <c r="C58" s="18" t="s">
        <v>445</v>
      </c>
      <c r="D58" s="5" t="s">
        <v>1152</v>
      </c>
      <c r="E58" s="5" t="s">
        <v>1153</v>
      </c>
      <c r="F58" s="5" t="s">
        <v>516</v>
      </c>
      <c r="G58" s="5" t="s">
        <v>517</v>
      </c>
      <c r="H58" s="5" t="s">
        <v>518</v>
      </c>
      <c r="I58" s="13" t="s">
        <v>367</v>
      </c>
      <c r="J58" s="13" t="s">
        <v>50</v>
      </c>
      <c r="K58" s="9" t="n">
        <v>2</v>
      </c>
      <c r="L58" s="9"/>
      <c r="M58" s="13" t="str">
        <f aca="false">IF(ISNUMBER(L58),IF(L58&lt;K58,"Gap","OK"),IF(L58="N/A","N/A",""))</f>
        <v/>
      </c>
      <c r="N58" s="9"/>
      <c r="O58" s="9"/>
      <c r="P58" s="13" t="str">
        <f aca="false">IF(AND(M58="Gap",N58&lt;&gt;"",O58&lt;&gt;""),VLOOKUP(N58&amp;O58,Lists!$H$4:$I$12,2,FALSE()),"")</f>
        <v/>
      </c>
      <c r="Q58" s="13" t="str">
        <f aca="false">IF(AND(M58="Gap",O58="S",OR(N58="H",N58="M")),"Yes","")</f>
        <v/>
      </c>
      <c r="R58" s="9" t="s">
        <v>50</v>
      </c>
      <c r="S58" s="14" t="str">
        <f aca="false">IF(A58="","",IFERROR(IF(OR(VLOOKUP(A58,AutoEvidence!$A$2:$G$400,2,FALSE())="Collected",VLOOKUP(A58,AutoEvidence!$A$2:$G$400,2,FALSE())="Partial"),VLOOKUP(A58,AutoEvidence!$A$2:$G$400,3,FALSE())&amp;" ("&amp;VLOOKUP(A58,AutoEvidence!$A$2:$G$400,2,FALSE())&amp;")",VLOOKUP(A58,AutoEvidence!$A$2:$G$400,2,FALSE())),""))</f>
        <v/>
      </c>
      <c r="T58" s="7" t="str">
        <f aca="false">IF(A58="","",IFERROR(VLOOKUP(A58,AutoEvidence!$A$2:$G$400,4,FALSE())&amp;"",""))</f>
        <v/>
      </c>
      <c r="U58" s="6"/>
      <c r="V58" s="6"/>
      <c r="W58" s="9"/>
      <c r="X58" s="6"/>
      <c r="Y58" s="6"/>
      <c r="Z58" s="9"/>
      <c r="AA58" s="15"/>
      <c r="AB58" s="13" t="str">
        <f aca="false">IF(M58="Gap",1,IF(M58="OK",0,""))</f>
        <v/>
      </c>
      <c r="AC58" s="16" t="str">
        <f aca="false">IF(P58&lt;&gt;"",VALUE(RIGHT(P58,1))*1000+ROW(),"")</f>
        <v/>
      </c>
      <c r="AD58" s="16" t="str">
        <f aca="false">IF(ISNUMBER(L58),MIN(L58,K58),"")</f>
        <v/>
      </c>
      <c r="AE58" s="16" t="str">
        <f aca="false">IF(AND(ISNUMBER(SEARCH(" PA "," "&amp;SUBSTITUTE($I58,","," ")&amp;" ")),ISNUMBER($L58)),$L58,"")</f>
        <v/>
      </c>
      <c r="AF58" s="16" t="str">
        <f aca="false">IF(AND(ISNUMBER(SEARCH(" PO "," "&amp;SUBSTITUTE($I58,","," ")&amp;" ")),ISNUMBER($L58)),$L58,"")</f>
        <v/>
      </c>
      <c r="AG58" s="16" t="str">
        <f aca="false">IF(AND(ISNUMBER(SEARCH(" MFA "," "&amp;SUBSTITUTE($I58,","," ")&amp;" ")),ISNUMBER($L58)),$L58,"")</f>
        <v/>
      </c>
      <c r="AH58" s="16" t="str">
        <f aca="false">IF(AND(ISNUMBER(SEARCH(" RAP "," "&amp;SUBSTITUTE($I58,","," ")&amp;" ")),ISNUMBER($L58)),$L58,"")</f>
        <v/>
      </c>
      <c r="AI58" s="16" t="str">
        <f aca="false">IF(AND(ISNUMBER(SEARCH(" AC "," "&amp;SUBSTITUTE($I58,","," ")&amp;" ")),ISNUMBER($L58)),$L58,"")</f>
        <v/>
      </c>
      <c r="AJ58" s="16" t="str">
        <f aca="false">IF(AND(ISNUMBER(SEARCH(" MAC "," "&amp;SUBSTITUTE($I58,","," ")&amp;" ")),ISNUMBER($L58)),$L58,"")</f>
        <v/>
      </c>
      <c r="AK58" s="16" t="str">
        <f aca="false">IF(AND(ISNUMBER(SEARCH(" UAH "," "&amp;SUBSTITUTE($I58,","," ")&amp;" ")),ISNUMBER($L58)),$L58,"")</f>
        <v/>
      </c>
      <c r="AL58" s="16" t="str">
        <f aca="false">IF(AND(ISNUMBER(SEARCH(" RB "," "&amp;SUBSTITUTE($I58,","," ")&amp;" ")),ISNUMBER($L58)),$L58,"")</f>
        <v/>
      </c>
    </row>
    <row r="59" customFormat="false" ht="69" hidden="false" customHeight="true" outlineLevel="0" collapsed="false">
      <c r="A59" s="17" t="s">
        <v>519</v>
      </c>
      <c r="B59" s="18" t="s">
        <v>444</v>
      </c>
      <c r="C59" s="18" t="s">
        <v>445</v>
      </c>
      <c r="D59" s="5" t="s">
        <v>520</v>
      </c>
      <c r="E59" s="5" t="s">
        <v>521</v>
      </c>
      <c r="F59" s="5" t="s">
        <v>522</v>
      </c>
      <c r="G59" s="5" t="s">
        <v>523</v>
      </c>
      <c r="H59" s="5" t="s">
        <v>524</v>
      </c>
      <c r="I59" s="13" t="s">
        <v>354</v>
      </c>
      <c r="J59" s="13" t="s">
        <v>46</v>
      </c>
      <c r="K59" s="9" t="n">
        <v>2</v>
      </c>
      <c r="L59" s="9"/>
      <c r="M59" s="13" t="str">
        <f aca="false">IF(ISNUMBER(L59),IF(L59&lt;K59,"Gap","OK"),IF(L59="N/A","N/A",""))</f>
        <v/>
      </c>
      <c r="N59" s="9"/>
      <c r="O59" s="9"/>
      <c r="P59" s="13" t="str">
        <f aca="false">IF(AND(M59="Gap",N59&lt;&gt;"",O59&lt;&gt;""),VLOOKUP(N59&amp;O59,Lists!$H$4:$I$12,2,FALSE()),"")</f>
        <v/>
      </c>
      <c r="Q59" s="13" t="str">
        <f aca="false">IF(AND(M59="Gap",O59="S",OR(N59="H",N59="M")),"Yes","")</f>
        <v/>
      </c>
      <c r="R59" s="9" t="s">
        <v>46</v>
      </c>
      <c r="S59" s="14" t="str">
        <f aca="false">IF(A59="","",IFERROR(IF(OR(VLOOKUP(A59,AutoEvidence!$A$2:$G$400,2,FALSE())="Collected",VLOOKUP(A59,AutoEvidence!$A$2:$G$400,2,FALSE())="Partial"),VLOOKUP(A59,AutoEvidence!$A$2:$G$400,3,FALSE())&amp;" ("&amp;VLOOKUP(A59,AutoEvidence!$A$2:$G$400,2,FALSE())&amp;")",VLOOKUP(A59,AutoEvidence!$A$2:$G$400,2,FALSE())),""))</f>
        <v/>
      </c>
      <c r="T59" s="7" t="str">
        <f aca="false">IF(A59="","",IFERROR(VLOOKUP(A59,AutoEvidence!$A$2:$G$400,4,FALSE())&amp;"",""))</f>
        <v/>
      </c>
      <c r="U59" s="6"/>
      <c r="V59" s="6"/>
      <c r="W59" s="9"/>
      <c r="X59" s="6"/>
      <c r="Y59" s="6"/>
      <c r="Z59" s="9"/>
      <c r="AA59" s="15"/>
      <c r="AB59" s="13" t="str">
        <f aca="false">IF(M59="Gap",1,IF(M59="OK",0,""))</f>
        <v/>
      </c>
      <c r="AC59" s="16" t="str">
        <f aca="false">IF(P59&lt;&gt;"",VALUE(RIGHT(P59,1))*1000+ROW(),"")</f>
        <v/>
      </c>
      <c r="AD59" s="16" t="str">
        <f aca="false">IF(ISNUMBER(L59),MIN(L59,K59),"")</f>
        <v/>
      </c>
      <c r="AE59" s="16" t="str">
        <f aca="false">IF(AND(ISNUMBER(SEARCH(" PA "," "&amp;SUBSTITUTE($I59,","," ")&amp;" ")),ISNUMBER($L59)),$L59,"")</f>
        <v/>
      </c>
      <c r="AF59" s="16" t="str">
        <f aca="false">IF(AND(ISNUMBER(SEARCH(" PO "," "&amp;SUBSTITUTE($I59,","," ")&amp;" ")),ISNUMBER($L59)),$L59,"")</f>
        <v/>
      </c>
      <c r="AG59" s="16" t="str">
        <f aca="false">IF(AND(ISNUMBER(SEARCH(" MFA "," "&amp;SUBSTITUTE($I59,","," ")&amp;" ")),ISNUMBER($L59)),$L59,"")</f>
        <v/>
      </c>
      <c r="AH59" s="16" t="str">
        <f aca="false">IF(AND(ISNUMBER(SEARCH(" RAP "," "&amp;SUBSTITUTE($I59,","," ")&amp;" ")),ISNUMBER($L59)),$L59,"")</f>
        <v/>
      </c>
      <c r="AI59" s="16" t="str">
        <f aca="false">IF(AND(ISNUMBER(SEARCH(" AC "," "&amp;SUBSTITUTE($I59,","," ")&amp;" ")),ISNUMBER($L59)),$L59,"")</f>
        <v/>
      </c>
      <c r="AJ59" s="16" t="str">
        <f aca="false">IF(AND(ISNUMBER(SEARCH(" MAC "," "&amp;SUBSTITUTE($I59,","," ")&amp;" ")),ISNUMBER($L59)),$L59,"")</f>
        <v/>
      </c>
      <c r="AK59" s="16" t="str">
        <f aca="false">IF(AND(ISNUMBER(SEARCH(" UAH "," "&amp;SUBSTITUTE($I59,","," ")&amp;" ")),ISNUMBER($L59)),$L59,"")</f>
        <v/>
      </c>
      <c r="AL59" s="16" t="str">
        <f aca="false">IF(AND(ISNUMBER(SEARCH(" RB "," "&amp;SUBSTITUTE($I59,","," ")&amp;" ")),ISNUMBER($L59)),$L59,"")</f>
        <v/>
      </c>
    </row>
    <row r="60" customFormat="false" ht="69" hidden="false" customHeight="true" outlineLevel="0" collapsed="false">
      <c r="A60" s="17" t="s">
        <v>1142</v>
      </c>
      <c r="B60" s="18" t="s">
        <v>1143</v>
      </c>
      <c r="C60" s="18" t="s">
        <v>1144</v>
      </c>
      <c r="D60" s="5" t="s">
        <v>1145</v>
      </c>
      <c r="E60" s="5" t="s">
        <v>1146</v>
      </c>
      <c r="F60" s="5" t="s">
        <v>1147</v>
      </c>
      <c r="G60" s="5" t="s">
        <v>1148</v>
      </c>
      <c r="H60" s="5" t="s">
        <v>1149</v>
      </c>
      <c r="I60" s="13" t="s">
        <v>1150</v>
      </c>
      <c r="J60" s="13" t="s">
        <v>1151</v>
      </c>
      <c r="K60" s="9" t="n">
        <v>2</v>
      </c>
      <c r="L60" s="9"/>
      <c r="M60" s="13" t="str">
        <f aca="false">IF(ISNUMBER(L60),IF(L60&lt;K60,"Gap","OK"),IF(L60="N/A","N/A",""))</f>
        <v/>
      </c>
      <c r="N60" s="9"/>
      <c r="O60" s="9"/>
      <c r="P60" s="13" t="str">
        <f aca="false">IF(AND(M60="Gap",N60&lt;&gt;"",O60&lt;&gt;""),VLOOKUP(N60&amp;O60,Lists!$H$4:$I$12,2,FALSE()),"")</f>
        <v/>
      </c>
      <c r="Q60" s="13" t="str">
        <f aca="false">IF(AND(M60="Gap",O60="S",OR(N60="H",N60="M")),"Yes","")</f>
        <v/>
      </c>
      <c r="R60" s="9" t="s">
        <v>1151</v>
      </c>
      <c r="S60" s="14" t="str">
        <f aca="false">IF(A60="","",IFERROR(IF(OR(VLOOKUP(A60,AutoEvidence!$A$2:$G$400,2,FALSE())="Collected",VLOOKUP(A60,AutoEvidence!$A$2:$G$400,2,FALSE())="Partial"),VLOOKUP(A60,AutoEvidence!$A$2:$G$400,3,FALSE())&amp;" ("&amp;VLOOKUP(A60,AutoEvidence!$A$2:$G$400,2,FALSE())&amp;")",VLOOKUP(A60,AutoEvidence!$A$2:$G$400,2,FALSE())),""))</f>
        <v/>
      </c>
      <c r="T60" s="7" t="str">
        <f aca="false">IF(A60="","",IFERROR(VLOOKUP(A60,AutoEvidence!$A$2:$G$400,4,FALSE())&amp;"",""))</f>
        <v/>
      </c>
      <c r="U60" s="6"/>
      <c r="V60" s="6"/>
      <c r="W60" s="9"/>
      <c r="X60" s="6"/>
      <c r="Y60" s="6"/>
      <c r="Z60" s="9"/>
      <c r="AA60" s="15"/>
      <c r="AB60" s="13" t="str">
        <f aca="false">IF(M60="Gap",1,IF(M60="OK",0,""))</f>
        <v/>
      </c>
      <c r="AC60" s="16" t="str">
        <f aca="false">IF(P60&lt;&gt;"",VALUE(RIGHT(P60,1))*1000+ROW(),"")</f>
        <v/>
      </c>
      <c r="AD60" s="16" t="str">
        <f aca="false">IF(ISNUMBER(L60),MIN(L60,K60),"")</f>
        <v/>
      </c>
      <c r="AE60" s="16" t="str">
        <f aca="false">IF(AND(ISNUMBER(SEARCH(" PA "," "&amp;SUBSTITUTE($I60,","," ")&amp;" ")),ISNUMBER($L60)),$L60,"")</f>
        <v/>
      </c>
      <c r="AF60" s="16" t="str">
        <f aca="false">IF(AND(ISNUMBER(SEARCH(" PO "," "&amp;SUBSTITUTE($I60,","," ")&amp;" ")),ISNUMBER($L60)),$L60,"")</f>
        <v/>
      </c>
      <c r="AG60" s="16" t="str">
        <f aca="false">IF(AND(ISNUMBER(SEARCH(" MFA "," "&amp;SUBSTITUTE($I60,","," ")&amp;" ")),ISNUMBER($L60)),$L60,"")</f>
        <v/>
      </c>
      <c r="AH60" s="16" t="str">
        <f aca="false">IF(AND(ISNUMBER(SEARCH(" RAP "," "&amp;SUBSTITUTE($I60,","," ")&amp;" ")),ISNUMBER($L60)),$L60,"")</f>
        <v/>
      </c>
      <c r="AI60" s="16" t="str">
        <f aca="false">IF(AND(ISNUMBER(SEARCH(" AC "," "&amp;SUBSTITUTE($I60,","," ")&amp;" ")),ISNUMBER($L60)),$L60,"")</f>
        <v/>
      </c>
      <c r="AJ60" s="16" t="str">
        <f aca="false">IF(AND(ISNUMBER(SEARCH(" MAC "," "&amp;SUBSTITUTE($I60,","," ")&amp;" ")),ISNUMBER($L60)),$L60,"")</f>
        <v/>
      </c>
      <c r="AK60" s="16" t="str">
        <f aca="false">IF(AND(ISNUMBER(SEARCH(" UAH "," "&amp;SUBSTITUTE($I60,","," ")&amp;" ")),ISNUMBER($L60)),$L60,"")</f>
        <v/>
      </c>
      <c r="AL60" s="16" t="str">
        <f aca="false">IF(AND(ISNUMBER(SEARCH(" RB "," "&amp;SUBSTITUTE($I60,","," ")&amp;" ")),ISNUMBER($L60)),$L60,"")</f>
        <v/>
      </c>
    </row>
    <row r="61" customFormat="false" ht="42.75" hidden="false" customHeight="true" outlineLevel="0" collapsed="false">
      <c r="A61" s="4" t="s">
        <v>525</v>
      </c>
      <c r="B61" s="5" t="s">
        <v>526</v>
      </c>
      <c r="C61" s="5" t="s">
        <v>527</v>
      </c>
      <c r="D61" s="5" t="s">
        <v>528</v>
      </c>
      <c r="E61" s="5" t="s">
        <v>529</v>
      </c>
      <c r="F61" s="5" t="s">
        <v>530</v>
      </c>
      <c r="G61" s="5" t="s">
        <v>531</v>
      </c>
      <c r="H61" s="5" t="s">
        <v>532</v>
      </c>
      <c r="I61" s="13"/>
      <c r="J61" s="13" t="s">
        <v>46</v>
      </c>
      <c r="K61" s="9" t="n">
        <v>2</v>
      </c>
      <c r="L61" s="9"/>
      <c r="M61" s="13" t="str">
        <f aca="false">IF(ISNUMBER(L61),IF(L61&lt;K61,"Gap","OK"),IF(L61="N/A","N/A",""))</f>
        <v/>
      </c>
      <c r="N61" s="9"/>
      <c r="O61" s="9"/>
      <c r="P61" s="13" t="str">
        <f aca="false">IF(AND(M61="Gap",N61&lt;&gt;"",O61&lt;&gt;""),VLOOKUP(N61&amp;O61,Lists!$H$4:$I$12,2,FALSE()),"")</f>
        <v/>
      </c>
      <c r="Q61" s="13" t="str">
        <f aca="false">IF(AND(M61="Gap",O61="S",OR(N61="H",N61="M")),"Yes","")</f>
        <v/>
      </c>
      <c r="R61" s="9" t="s">
        <v>46</v>
      </c>
      <c r="S61" s="14" t="str">
        <f aca="false">IF(A61="","",IFERROR(IF(OR(VLOOKUP(A61,AutoEvidence!$A$2:$G$400,2,FALSE())="Collected",VLOOKUP(A61,AutoEvidence!$A$2:$G$400,2,FALSE())="Partial"),VLOOKUP(A61,AutoEvidence!$A$2:$G$400,3,FALSE())&amp;" ("&amp;VLOOKUP(A61,AutoEvidence!$A$2:$G$400,2,FALSE())&amp;")",VLOOKUP(A61,AutoEvidence!$A$2:$G$400,2,FALSE())),""))</f>
        <v/>
      </c>
      <c r="T61" s="7" t="str">
        <f aca="false">IF(A61="","",IFERROR(VLOOKUP(A61,AutoEvidence!$A$2:$G$400,4,FALSE())&amp;"",""))</f>
        <v/>
      </c>
      <c r="U61" s="6"/>
      <c r="V61" s="6"/>
      <c r="W61" s="9"/>
      <c r="X61" s="6"/>
      <c r="Y61" s="6"/>
      <c r="Z61" s="9"/>
      <c r="AA61" s="15"/>
      <c r="AB61" s="13" t="str">
        <f aca="false">IF(M61="Gap",1,IF(M61="OK",0,""))</f>
        <v/>
      </c>
      <c r="AC61" s="16" t="str">
        <f aca="false">IF(P61&lt;&gt;"",VALUE(RIGHT(P61,1))*1000+ROW(),"")</f>
        <v/>
      </c>
      <c r="AD61" s="16" t="str">
        <f aca="false">IF(ISNUMBER(L61),MIN(L61,K61),"")</f>
        <v/>
      </c>
      <c r="AE61" s="16" t="str">
        <f aca="false">IF(AND(ISNUMBER(SEARCH(" PA "," "&amp;SUBSTITUTE($I61,","," ")&amp;" ")),ISNUMBER($L61)),$L61,"")</f>
        <v/>
      </c>
      <c r="AF61" s="16" t="str">
        <f aca="false">IF(AND(ISNUMBER(SEARCH(" PO "," "&amp;SUBSTITUTE($I61,","," ")&amp;" ")),ISNUMBER($L61)),$L61,"")</f>
        <v/>
      </c>
      <c r="AG61" s="16" t="str">
        <f aca="false">IF(AND(ISNUMBER(SEARCH(" MFA "," "&amp;SUBSTITUTE($I61,","," ")&amp;" ")),ISNUMBER($L61)),$L61,"")</f>
        <v/>
      </c>
      <c r="AH61" s="16" t="str">
        <f aca="false">IF(AND(ISNUMBER(SEARCH(" RAP "," "&amp;SUBSTITUTE($I61,","," ")&amp;" ")),ISNUMBER($L61)),$L61,"")</f>
        <v/>
      </c>
      <c r="AI61" s="16" t="str">
        <f aca="false">IF(AND(ISNUMBER(SEARCH(" AC "," "&amp;SUBSTITUTE($I61,","," ")&amp;" ")),ISNUMBER($L61)),$L61,"")</f>
        <v/>
      </c>
      <c r="AJ61" s="16" t="str">
        <f aca="false">IF(AND(ISNUMBER(SEARCH(" MAC "," "&amp;SUBSTITUTE($I61,","," ")&amp;" ")),ISNUMBER($L61)),$L61,"")</f>
        <v/>
      </c>
      <c r="AK61" s="16" t="str">
        <f aca="false">IF(AND(ISNUMBER(SEARCH(" UAH "," "&amp;SUBSTITUTE($I61,","," ")&amp;" ")),ISNUMBER($L61)),$L61,"")</f>
        <v/>
      </c>
      <c r="AL61" s="16" t="str">
        <f aca="false">IF(AND(ISNUMBER(SEARCH(" RB "," "&amp;SUBSTITUTE($I61,","," ")&amp;" ")),ISNUMBER($L61)),$L61,"")</f>
        <v/>
      </c>
    </row>
    <row r="62" customFormat="false" ht="69" hidden="false" customHeight="true" outlineLevel="0" collapsed="false">
      <c r="A62" s="4" t="s">
        <v>533</v>
      </c>
      <c r="B62" s="5" t="s">
        <v>526</v>
      </c>
      <c r="C62" s="5" t="s">
        <v>527</v>
      </c>
      <c r="D62" s="5" t="s">
        <v>534</v>
      </c>
      <c r="E62" s="5" t="s">
        <v>535</v>
      </c>
      <c r="F62" s="5" t="s">
        <v>536</v>
      </c>
      <c r="G62" s="5" t="s">
        <v>537</v>
      </c>
      <c r="H62" s="5" t="s">
        <v>538</v>
      </c>
      <c r="I62" s="13" t="s">
        <v>354</v>
      </c>
      <c r="J62" s="13" t="s">
        <v>46</v>
      </c>
      <c r="K62" s="9" t="n">
        <v>2</v>
      </c>
      <c r="L62" s="9"/>
      <c r="M62" s="13" t="str">
        <f aca="false">IF(ISNUMBER(L62),IF(L62&lt;K62,"Gap","OK"),IF(L62="N/A","N/A",""))</f>
        <v/>
      </c>
      <c r="N62" s="9"/>
      <c r="O62" s="9"/>
      <c r="P62" s="13" t="str">
        <f aca="false">IF(AND(M62="Gap",N62&lt;&gt;"",O62&lt;&gt;""),VLOOKUP(N62&amp;O62,Lists!$H$4:$I$12,2,FALSE()),"")</f>
        <v/>
      </c>
      <c r="Q62" s="13" t="str">
        <f aca="false">IF(AND(M62="Gap",O62="S",OR(N62="H",N62="M")),"Yes","")</f>
        <v/>
      </c>
      <c r="R62" s="9" t="s">
        <v>46</v>
      </c>
      <c r="S62" s="14" t="str">
        <f aca="false">IF(A62="","",IFERROR(IF(OR(VLOOKUP(A62,AutoEvidence!$A$2:$G$400,2,FALSE())="Collected",VLOOKUP(A62,AutoEvidence!$A$2:$G$400,2,FALSE())="Partial"),VLOOKUP(A62,AutoEvidence!$A$2:$G$400,3,FALSE())&amp;" ("&amp;VLOOKUP(A62,AutoEvidence!$A$2:$G$400,2,FALSE())&amp;")",VLOOKUP(A62,AutoEvidence!$A$2:$G$400,2,FALSE())),""))</f>
        <v/>
      </c>
      <c r="T62" s="7" t="str">
        <f aca="false">IF(A62="","",IFERROR(VLOOKUP(A62,AutoEvidence!$A$2:$G$400,4,FALSE())&amp;"",""))</f>
        <v/>
      </c>
      <c r="U62" s="6"/>
      <c r="V62" s="6"/>
      <c r="W62" s="9"/>
      <c r="X62" s="6"/>
      <c r="Y62" s="6"/>
      <c r="Z62" s="9"/>
      <c r="AA62" s="15"/>
      <c r="AB62" s="13" t="str">
        <f aca="false">IF(M62="Gap",1,IF(M62="OK",0,""))</f>
        <v/>
      </c>
      <c r="AC62" s="16" t="str">
        <f aca="false">IF(P62&lt;&gt;"",VALUE(RIGHT(P62,1))*1000+ROW(),"")</f>
        <v/>
      </c>
      <c r="AD62" s="16" t="str">
        <f aca="false">IF(ISNUMBER(L62),MIN(L62,K62),"")</f>
        <v/>
      </c>
      <c r="AE62" s="16" t="str">
        <f aca="false">IF(AND(ISNUMBER(SEARCH(" PA "," "&amp;SUBSTITUTE($I62,","," ")&amp;" ")),ISNUMBER($L62)),$L62,"")</f>
        <v/>
      </c>
      <c r="AF62" s="16" t="str">
        <f aca="false">IF(AND(ISNUMBER(SEARCH(" PO "," "&amp;SUBSTITUTE($I62,","," ")&amp;" ")),ISNUMBER($L62)),$L62,"")</f>
        <v/>
      </c>
      <c r="AG62" s="16" t="str">
        <f aca="false">IF(AND(ISNUMBER(SEARCH(" MFA "," "&amp;SUBSTITUTE($I62,","," ")&amp;" ")),ISNUMBER($L62)),$L62,"")</f>
        <v/>
      </c>
      <c r="AH62" s="16" t="str">
        <f aca="false">IF(AND(ISNUMBER(SEARCH(" RAP "," "&amp;SUBSTITUTE($I62,","," ")&amp;" ")),ISNUMBER($L62)),$L62,"")</f>
        <v/>
      </c>
      <c r="AI62" s="16" t="str">
        <f aca="false">IF(AND(ISNUMBER(SEARCH(" AC "," "&amp;SUBSTITUTE($I62,","," ")&amp;" ")),ISNUMBER($L62)),$L62,"")</f>
        <v/>
      </c>
      <c r="AJ62" s="16" t="str">
        <f aca="false">IF(AND(ISNUMBER(SEARCH(" MAC "," "&amp;SUBSTITUTE($I62,","," ")&amp;" ")),ISNUMBER($L62)),$L62,"")</f>
        <v/>
      </c>
      <c r="AK62" s="16" t="str">
        <f aca="false">IF(AND(ISNUMBER(SEARCH(" UAH "," "&amp;SUBSTITUTE($I62,","," ")&amp;" ")),ISNUMBER($L62)),$L62,"")</f>
        <v/>
      </c>
      <c r="AL62" s="16" t="str">
        <f aca="false">IF(AND(ISNUMBER(SEARCH(" RB "," "&amp;SUBSTITUTE($I62,","," ")&amp;" ")),ISNUMBER($L62)),$L62,"")</f>
        <v/>
      </c>
    </row>
    <row r="63" customFormat="false" ht="69" hidden="false" customHeight="true" outlineLevel="0" collapsed="false">
      <c r="A63" s="4" t="s">
        <v>539</v>
      </c>
      <c r="B63" s="5" t="s">
        <v>526</v>
      </c>
      <c r="C63" s="5" t="s">
        <v>527</v>
      </c>
      <c r="D63" s="5" t="s">
        <v>540</v>
      </c>
      <c r="E63" s="5" t="s">
        <v>541</v>
      </c>
      <c r="F63" s="5" t="s">
        <v>542</v>
      </c>
      <c r="G63" s="5" t="s">
        <v>543</v>
      </c>
      <c r="H63" s="5" t="s">
        <v>544</v>
      </c>
      <c r="I63" s="13"/>
      <c r="J63" s="13" t="s">
        <v>50</v>
      </c>
      <c r="K63" s="9" t="n">
        <v>2</v>
      </c>
      <c r="L63" s="9"/>
      <c r="M63" s="13" t="str">
        <f aca="false">IF(ISNUMBER(L63),IF(L63&lt;K63,"Gap","OK"),IF(L63="N/A","N/A",""))</f>
        <v/>
      </c>
      <c r="N63" s="9"/>
      <c r="O63" s="9"/>
      <c r="P63" s="13" t="str">
        <f aca="false">IF(AND(M63="Gap",N63&lt;&gt;"",O63&lt;&gt;""),VLOOKUP(N63&amp;O63,Lists!$H$4:$I$12,2,FALSE()),"")</f>
        <v/>
      </c>
      <c r="Q63" s="13" t="str">
        <f aca="false">IF(AND(M63="Gap",O63="S",OR(N63="H",N63="M")),"Yes","")</f>
        <v/>
      </c>
      <c r="R63" s="9" t="s">
        <v>50</v>
      </c>
      <c r="S63" s="14" t="str">
        <f aca="false">IF(A63="","",IFERROR(IF(OR(VLOOKUP(A63,AutoEvidence!$A$2:$G$400,2,FALSE())="Collected",VLOOKUP(A63,AutoEvidence!$A$2:$G$400,2,FALSE())="Partial"),VLOOKUP(A63,AutoEvidence!$A$2:$G$400,3,FALSE())&amp;" ("&amp;VLOOKUP(A63,AutoEvidence!$A$2:$G$400,2,FALSE())&amp;")",VLOOKUP(A63,AutoEvidence!$A$2:$G$400,2,FALSE())),""))</f>
        <v/>
      </c>
      <c r="T63" s="7" t="str">
        <f aca="false">IF(A63="","",IFERROR(VLOOKUP(A63,AutoEvidence!$A$2:$G$400,4,FALSE())&amp;"",""))</f>
        <v/>
      </c>
      <c r="U63" s="6"/>
      <c r="V63" s="6"/>
      <c r="W63" s="9"/>
      <c r="X63" s="6"/>
      <c r="Y63" s="6"/>
      <c r="Z63" s="9"/>
      <c r="AA63" s="15"/>
      <c r="AB63" s="13" t="str">
        <f aca="false">IF(M63="Gap",1,IF(M63="OK",0,""))</f>
        <v/>
      </c>
      <c r="AC63" s="16" t="str">
        <f aca="false">IF(P63&lt;&gt;"",VALUE(RIGHT(P63,1))*1000+ROW(),"")</f>
        <v/>
      </c>
      <c r="AD63" s="16" t="str">
        <f aca="false">IF(ISNUMBER(L63),MIN(L63,K63),"")</f>
        <v/>
      </c>
      <c r="AE63" s="16" t="str">
        <f aca="false">IF(AND(ISNUMBER(SEARCH(" PA "," "&amp;SUBSTITUTE($I63,","," ")&amp;" ")),ISNUMBER($L63)),$L63,"")</f>
        <v/>
      </c>
      <c r="AF63" s="16" t="str">
        <f aca="false">IF(AND(ISNUMBER(SEARCH(" PO "," "&amp;SUBSTITUTE($I63,","," ")&amp;" ")),ISNUMBER($L63)),$L63,"")</f>
        <v/>
      </c>
      <c r="AG63" s="16" t="str">
        <f aca="false">IF(AND(ISNUMBER(SEARCH(" MFA "," "&amp;SUBSTITUTE($I63,","," ")&amp;" ")),ISNUMBER($L63)),$L63,"")</f>
        <v/>
      </c>
      <c r="AH63" s="16" t="str">
        <f aca="false">IF(AND(ISNUMBER(SEARCH(" RAP "," "&amp;SUBSTITUTE($I63,","," ")&amp;" ")),ISNUMBER($L63)),$L63,"")</f>
        <v/>
      </c>
      <c r="AI63" s="16" t="str">
        <f aca="false">IF(AND(ISNUMBER(SEARCH(" AC "," "&amp;SUBSTITUTE($I63,","," ")&amp;" ")),ISNUMBER($L63)),$L63,"")</f>
        <v/>
      </c>
      <c r="AJ63" s="16" t="str">
        <f aca="false">IF(AND(ISNUMBER(SEARCH(" MAC "," "&amp;SUBSTITUTE($I63,","," ")&amp;" ")),ISNUMBER($L63)),$L63,"")</f>
        <v/>
      </c>
      <c r="AK63" s="16" t="str">
        <f aca="false">IF(AND(ISNUMBER(SEARCH(" UAH "," "&amp;SUBSTITUTE($I63,","," ")&amp;" ")),ISNUMBER($L63)),$L63,"")</f>
        <v/>
      </c>
      <c r="AL63" s="16" t="str">
        <f aca="false">IF(AND(ISNUMBER(SEARCH(" RB "," "&amp;SUBSTITUTE($I63,","," ")&amp;" ")),ISNUMBER($L63)),$L63,"")</f>
        <v/>
      </c>
    </row>
    <row r="64" customFormat="false" ht="69" hidden="false" customHeight="true" outlineLevel="0" collapsed="false">
      <c r="A64" s="4" t="s">
        <v>545</v>
      </c>
      <c r="B64" s="5" t="s">
        <v>526</v>
      </c>
      <c r="C64" s="5" t="s">
        <v>527</v>
      </c>
      <c r="D64" s="5" t="s">
        <v>546</v>
      </c>
      <c r="E64" s="5" t="s">
        <v>547</v>
      </c>
      <c r="F64" s="5" t="s">
        <v>548</v>
      </c>
      <c r="G64" s="5" t="s">
        <v>549</v>
      </c>
      <c r="H64" s="5" t="s">
        <v>550</v>
      </c>
      <c r="I64" s="13" t="s">
        <v>354</v>
      </c>
      <c r="J64" s="13" t="s">
        <v>48</v>
      </c>
      <c r="K64" s="9" t="n">
        <v>2</v>
      </c>
      <c r="L64" s="9"/>
      <c r="M64" s="13" t="str">
        <f aca="false">IF(ISNUMBER(L64),IF(L64&lt;K64,"Gap","OK"),IF(L64="N/A","N/A",""))</f>
        <v/>
      </c>
      <c r="N64" s="9"/>
      <c r="O64" s="9"/>
      <c r="P64" s="13" t="str">
        <f aca="false">IF(AND(M64="Gap",N64&lt;&gt;"",O64&lt;&gt;""),VLOOKUP(N64&amp;O64,Lists!$H$4:$I$12,2,FALSE()),"")</f>
        <v/>
      </c>
      <c r="Q64" s="13" t="str">
        <f aca="false">IF(AND(M64="Gap",O64="S",OR(N64="H",N64="M")),"Yes","")</f>
        <v/>
      </c>
      <c r="R64" s="9" t="s">
        <v>48</v>
      </c>
      <c r="S64" s="14" t="str">
        <f aca="false">IF(A64="","",IFERROR(IF(OR(VLOOKUP(A64,AutoEvidence!$A$2:$G$400,2,FALSE())="Collected",VLOOKUP(A64,AutoEvidence!$A$2:$G$400,2,FALSE())="Partial"),VLOOKUP(A64,AutoEvidence!$A$2:$G$400,3,FALSE())&amp;" ("&amp;VLOOKUP(A64,AutoEvidence!$A$2:$G$400,2,FALSE())&amp;")",VLOOKUP(A64,AutoEvidence!$A$2:$G$400,2,FALSE())),""))</f>
        <v/>
      </c>
      <c r="T64" s="7" t="str">
        <f aca="false">IF(A64="","",IFERROR(VLOOKUP(A64,AutoEvidence!$A$2:$G$400,4,FALSE())&amp;"",""))</f>
        <v/>
      </c>
      <c r="U64" s="6"/>
      <c r="V64" s="6"/>
      <c r="W64" s="9"/>
      <c r="X64" s="6"/>
      <c r="Y64" s="6"/>
      <c r="Z64" s="9"/>
      <c r="AA64" s="15"/>
      <c r="AB64" s="13" t="str">
        <f aca="false">IF(M64="Gap",1,IF(M64="OK",0,""))</f>
        <v/>
      </c>
      <c r="AC64" s="16" t="str">
        <f aca="false">IF(P64&lt;&gt;"",VALUE(RIGHT(P64,1))*1000+ROW(),"")</f>
        <v/>
      </c>
      <c r="AD64" s="16" t="str">
        <f aca="false">IF(ISNUMBER(L64),MIN(L64,K64),"")</f>
        <v/>
      </c>
      <c r="AE64" s="16" t="str">
        <f aca="false">IF(AND(ISNUMBER(SEARCH(" PA "," "&amp;SUBSTITUTE($I64,","," ")&amp;" ")),ISNUMBER($L64)),$L64,"")</f>
        <v/>
      </c>
      <c r="AF64" s="16" t="str">
        <f aca="false">IF(AND(ISNUMBER(SEARCH(" PO "," "&amp;SUBSTITUTE($I64,","," ")&amp;" ")),ISNUMBER($L64)),$L64,"")</f>
        <v/>
      </c>
      <c r="AG64" s="16" t="str">
        <f aca="false">IF(AND(ISNUMBER(SEARCH(" MFA "," "&amp;SUBSTITUTE($I64,","," ")&amp;" ")),ISNUMBER($L64)),$L64,"")</f>
        <v/>
      </c>
      <c r="AH64" s="16" t="str">
        <f aca="false">IF(AND(ISNUMBER(SEARCH(" RAP "," "&amp;SUBSTITUTE($I64,","," ")&amp;" ")),ISNUMBER($L64)),$L64,"")</f>
        <v/>
      </c>
      <c r="AI64" s="16" t="str">
        <f aca="false">IF(AND(ISNUMBER(SEARCH(" AC "," "&amp;SUBSTITUTE($I64,","," ")&amp;" ")),ISNUMBER($L64)),$L64,"")</f>
        <v/>
      </c>
      <c r="AJ64" s="16" t="str">
        <f aca="false">IF(AND(ISNUMBER(SEARCH(" MAC "," "&amp;SUBSTITUTE($I64,","," ")&amp;" ")),ISNUMBER($L64)),$L64,"")</f>
        <v/>
      </c>
      <c r="AK64" s="16" t="str">
        <f aca="false">IF(AND(ISNUMBER(SEARCH(" UAH "," "&amp;SUBSTITUTE($I64,","," ")&amp;" ")),ISNUMBER($L64)),$L64,"")</f>
        <v/>
      </c>
      <c r="AL64" s="16" t="str">
        <f aca="false">IF(AND(ISNUMBER(SEARCH(" RB "," "&amp;SUBSTITUTE($I64,","," ")&amp;" ")),ISNUMBER($L64)),$L64,"")</f>
        <v/>
      </c>
    </row>
    <row r="65" customFormat="false" ht="55.5" hidden="false" customHeight="true" outlineLevel="0" collapsed="false">
      <c r="A65" s="4" t="s">
        <v>551</v>
      </c>
      <c r="B65" s="5" t="s">
        <v>526</v>
      </c>
      <c r="C65" s="5" t="s">
        <v>527</v>
      </c>
      <c r="D65" s="5" t="s">
        <v>552</v>
      </c>
      <c r="E65" s="5" t="s">
        <v>553</v>
      </c>
      <c r="F65" s="5" t="s">
        <v>554</v>
      </c>
      <c r="G65" s="5" t="s">
        <v>555</v>
      </c>
      <c r="H65" s="5" t="s">
        <v>556</v>
      </c>
      <c r="I65" s="13" t="s">
        <v>189</v>
      </c>
      <c r="J65" s="13" t="s">
        <v>46</v>
      </c>
      <c r="K65" s="9" t="n">
        <v>2</v>
      </c>
      <c r="L65" s="9"/>
      <c r="M65" s="13" t="str">
        <f aca="false">IF(ISNUMBER(L65),IF(L65&lt;K65,"Gap","OK"),IF(L65="N/A","N/A",""))</f>
        <v/>
      </c>
      <c r="N65" s="9"/>
      <c r="O65" s="9"/>
      <c r="P65" s="13" t="str">
        <f aca="false">IF(AND(M65="Gap",N65&lt;&gt;"",O65&lt;&gt;""),VLOOKUP(N65&amp;O65,Lists!$H$4:$I$12,2,FALSE()),"")</f>
        <v/>
      </c>
      <c r="Q65" s="13" t="str">
        <f aca="false">IF(AND(M65="Gap",O65="S",OR(N65="H",N65="M")),"Yes","")</f>
        <v/>
      </c>
      <c r="R65" s="9" t="s">
        <v>46</v>
      </c>
      <c r="S65" s="14" t="str">
        <f aca="false">IF(A65="","",IFERROR(IF(OR(VLOOKUP(A65,AutoEvidence!$A$2:$G$400,2,FALSE())="Collected",VLOOKUP(A65,AutoEvidence!$A$2:$G$400,2,FALSE())="Partial"),VLOOKUP(A65,AutoEvidence!$A$2:$G$400,3,FALSE())&amp;" ("&amp;VLOOKUP(A65,AutoEvidence!$A$2:$G$400,2,FALSE())&amp;")",VLOOKUP(A65,AutoEvidence!$A$2:$G$400,2,FALSE())),""))</f>
        <v/>
      </c>
      <c r="T65" s="7" t="str">
        <f aca="false">IF(A65="","",IFERROR(VLOOKUP(A65,AutoEvidence!$A$2:$G$400,4,FALSE())&amp;"",""))</f>
        <v/>
      </c>
      <c r="U65" s="6"/>
      <c r="V65" s="6"/>
      <c r="W65" s="9"/>
      <c r="X65" s="6"/>
      <c r="Y65" s="6"/>
      <c r="Z65" s="9"/>
      <c r="AA65" s="15"/>
      <c r="AB65" s="13" t="str">
        <f aca="false">IF(M65="Gap",1,IF(M65="OK",0,""))</f>
        <v/>
      </c>
      <c r="AC65" s="16" t="str">
        <f aca="false">IF(P65&lt;&gt;"",VALUE(RIGHT(P65,1))*1000+ROW(),"")</f>
        <v/>
      </c>
      <c r="AD65" s="16" t="str">
        <f aca="false">IF(ISNUMBER(L65),MIN(L65,K65),"")</f>
        <v/>
      </c>
      <c r="AE65" s="16" t="str">
        <f aca="false">IF(AND(ISNUMBER(SEARCH(" PA "," "&amp;SUBSTITUTE($I65,","," ")&amp;" ")),ISNUMBER($L65)),$L65,"")</f>
        <v/>
      </c>
      <c r="AF65" s="16" t="str">
        <f aca="false">IF(AND(ISNUMBER(SEARCH(" PO "," "&amp;SUBSTITUTE($I65,","," ")&amp;" ")),ISNUMBER($L65)),$L65,"")</f>
        <v/>
      </c>
      <c r="AG65" s="16" t="str">
        <f aca="false">IF(AND(ISNUMBER(SEARCH(" MFA "," "&amp;SUBSTITUTE($I65,","," ")&amp;" ")),ISNUMBER($L65)),$L65,"")</f>
        <v/>
      </c>
      <c r="AH65" s="16" t="str">
        <f aca="false">IF(AND(ISNUMBER(SEARCH(" RAP "," "&amp;SUBSTITUTE($I65,","," ")&amp;" ")),ISNUMBER($L65)),$L65,"")</f>
        <v/>
      </c>
      <c r="AI65" s="16" t="str">
        <f aca="false">IF(AND(ISNUMBER(SEARCH(" AC "," "&amp;SUBSTITUTE($I65,","," ")&amp;" ")),ISNUMBER($L65)),$L65,"")</f>
        <v/>
      </c>
      <c r="AJ65" s="16" t="str">
        <f aca="false">IF(AND(ISNUMBER(SEARCH(" MAC "," "&amp;SUBSTITUTE($I65,","," ")&amp;" ")),ISNUMBER($L65)),$L65,"")</f>
        <v/>
      </c>
      <c r="AK65" s="16" t="str">
        <f aca="false">IF(AND(ISNUMBER(SEARCH(" UAH "," "&amp;SUBSTITUTE($I65,","," ")&amp;" ")),ISNUMBER($L65)),$L65,"")</f>
        <v/>
      </c>
      <c r="AL65" s="16" t="str">
        <f aca="false">IF(AND(ISNUMBER(SEARCH(" RB "," "&amp;SUBSTITUTE($I65,","," ")&amp;" ")),ISNUMBER($L65)),$L65,"")</f>
        <v/>
      </c>
    </row>
    <row r="66" customFormat="false" ht="55.5" hidden="false" customHeight="true" outlineLevel="0" collapsed="false">
      <c r="A66" s="4" t="s">
        <v>557</v>
      </c>
      <c r="B66" s="5" t="s">
        <v>526</v>
      </c>
      <c r="C66" s="5" t="s">
        <v>527</v>
      </c>
      <c r="D66" s="5" t="s">
        <v>558</v>
      </c>
      <c r="E66" s="5" t="s">
        <v>559</v>
      </c>
      <c r="F66" s="5" t="s">
        <v>560</v>
      </c>
      <c r="G66" s="5" t="s">
        <v>561</v>
      </c>
      <c r="H66" s="5" t="s">
        <v>562</v>
      </c>
      <c r="I66" s="13"/>
      <c r="J66" s="13" t="s">
        <v>48</v>
      </c>
      <c r="K66" s="9" t="n">
        <v>2</v>
      </c>
      <c r="L66" s="9"/>
      <c r="M66" s="13" t="str">
        <f aca="false">IF(ISNUMBER(L66),IF(L66&lt;K66,"Gap","OK"),IF(L66="N/A","N/A",""))</f>
        <v/>
      </c>
      <c r="N66" s="9"/>
      <c r="O66" s="9"/>
      <c r="P66" s="13" t="str">
        <f aca="false">IF(AND(M66="Gap",N66&lt;&gt;"",O66&lt;&gt;""),VLOOKUP(N66&amp;O66,Lists!$H$4:$I$12,2,FALSE()),"")</f>
        <v/>
      </c>
      <c r="Q66" s="13" t="str">
        <f aca="false">IF(AND(M66="Gap",O66="S",OR(N66="H",N66="M")),"Yes","")</f>
        <v/>
      </c>
      <c r="R66" s="9" t="s">
        <v>48</v>
      </c>
      <c r="S66" s="14" t="str">
        <f aca="false">IF(A66="","",IFERROR(IF(OR(VLOOKUP(A66,AutoEvidence!$A$2:$G$400,2,FALSE())="Collected",VLOOKUP(A66,AutoEvidence!$A$2:$G$400,2,FALSE())="Partial"),VLOOKUP(A66,AutoEvidence!$A$2:$G$400,3,FALSE())&amp;" ("&amp;VLOOKUP(A66,AutoEvidence!$A$2:$G$400,2,FALSE())&amp;")",VLOOKUP(A66,AutoEvidence!$A$2:$G$400,2,FALSE())),""))</f>
        <v/>
      </c>
      <c r="T66" s="7" t="str">
        <f aca="false">IF(A66="","",IFERROR(VLOOKUP(A66,AutoEvidence!$A$2:$G$400,4,FALSE())&amp;"",""))</f>
        <v/>
      </c>
      <c r="U66" s="6"/>
      <c r="V66" s="6"/>
      <c r="W66" s="9"/>
      <c r="X66" s="6"/>
      <c r="Y66" s="6"/>
      <c r="Z66" s="9"/>
      <c r="AA66" s="15"/>
      <c r="AB66" s="13" t="str">
        <f aca="false">IF(M66="Gap",1,IF(M66="OK",0,""))</f>
        <v/>
      </c>
      <c r="AC66" s="16" t="str">
        <f aca="false">IF(P66&lt;&gt;"",VALUE(RIGHT(P66,1))*1000+ROW(),"")</f>
        <v/>
      </c>
      <c r="AD66" s="16" t="str">
        <f aca="false">IF(ISNUMBER(L66),MIN(L66,K66),"")</f>
        <v/>
      </c>
      <c r="AE66" s="16" t="str">
        <f aca="false">IF(AND(ISNUMBER(SEARCH(" PA "," "&amp;SUBSTITUTE($I66,","," ")&amp;" ")),ISNUMBER($L66)),$L66,"")</f>
        <v/>
      </c>
      <c r="AF66" s="16" t="str">
        <f aca="false">IF(AND(ISNUMBER(SEARCH(" PO "," "&amp;SUBSTITUTE($I66,","," ")&amp;" ")),ISNUMBER($L66)),$L66,"")</f>
        <v/>
      </c>
      <c r="AG66" s="16" t="str">
        <f aca="false">IF(AND(ISNUMBER(SEARCH(" MFA "," "&amp;SUBSTITUTE($I66,","," ")&amp;" ")),ISNUMBER($L66)),$L66,"")</f>
        <v/>
      </c>
      <c r="AH66" s="16" t="str">
        <f aca="false">IF(AND(ISNUMBER(SEARCH(" RAP "," "&amp;SUBSTITUTE($I66,","," ")&amp;" ")),ISNUMBER($L66)),$L66,"")</f>
        <v/>
      </c>
      <c r="AI66" s="16" t="str">
        <f aca="false">IF(AND(ISNUMBER(SEARCH(" AC "," "&amp;SUBSTITUTE($I66,","," ")&amp;" ")),ISNUMBER($L66)),$L66,"")</f>
        <v/>
      </c>
      <c r="AJ66" s="16" t="str">
        <f aca="false">IF(AND(ISNUMBER(SEARCH(" MAC "," "&amp;SUBSTITUTE($I66,","," ")&amp;" ")),ISNUMBER($L66)),$L66,"")</f>
        <v/>
      </c>
      <c r="AK66" s="16" t="str">
        <f aca="false">IF(AND(ISNUMBER(SEARCH(" UAH "," "&amp;SUBSTITUTE($I66,","," ")&amp;" ")),ISNUMBER($L66)),$L66,"")</f>
        <v/>
      </c>
      <c r="AL66" s="16" t="str">
        <f aca="false">IF(AND(ISNUMBER(SEARCH(" RB "," "&amp;SUBSTITUTE($I66,","," ")&amp;" ")),ISNUMBER($L66)),$L66,"")</f>
        <v/>
      </c>
    </row>
    <row r="67" customFormat="false" ht="55.5" hidden="false" customHeight="true" outlineLevel="0" collapsed="false">
      <c r="A67" s="4" t="s">
        <v>563</v>
      </c>
      <c r="B67" s="5" t="s">
        <v>526</v>
      </c>
      <c r="C67" s="5" t="s">
        <v>527</v>
      </c>
      <c r="D67" s="5" t="s">
        <v>564</v>
      </c>
      <c r="E67" s="5" t="s">
        <v>565</v>
      </c>
      <c r="F67" s="5" t="s">
        <v>566</v>
      </c>
      <c r="G67" s="5" t="s">
        <v>567</v>
      </c>
      <c r="H67" s="5" t="s">
        <v>568</v>
      </c>
      <c r="I67" s="13" t="s">
        <v>354</v>
      </c>
      <c r="J67" s="13" t="s">
        <v>50</v>
      </c>
      <c r="K67" s="9" t="n">
        <v>2</v>
      </c>
      <c r="L67" s="9"/>
      <c r="M67" s="13" t="str">
        <f aca="false">IF(ISNUMBER(L67),IF(L67&lt;K67,"Gap","OK"),IF(L67="N/A","N/A",""))</f>
        <v/>
      </c>
      <c r="N67" s="9"/>
      <c r="O67" s="9"/>
      <c r="P67" s="13" t="str">
        <f aca="false">IF(AND(M67="Gap",N67&lt;&gt;"",O67&lt;&gt;""),VLOOKUP(N67&amp;O67,Lists!$H$4:$I$12,2,FALSE()),"")</f>
        <v/>
      </c>
      <c r="Q67" s="13" t="str">
        <f aca="false">IF(AND(M67="Gap",O67="S",OR(N67="H",N67="M")),"Yes","")</f>
        <v/>
      </c>
      <c r="R67" s="9" t="s">
        <v>50</v>
      </c>
      <c r="S67" s="14" t="str">
        <f aca="false">IF(A67="","",IFERROR(IF(OR(VLOOKUP(A67,AutoEvidence!$A$2:$G$400,2,FALSE())="Collected",VLOOKUP(A67,AutoEvidence!$A$2:$G$400,2,FALSE())="Partial"),VLOOKUP(A67,AutoEvidence!$A$2:$G$400,3,FALSE())&amp;" ("&amp;VLOOKUP(A67,AutoEvidence!$A$2:$G$400,2,FALSE())&amp;")",VLOOKUP(A67,AutoEvidence!$A$2:$G$400,2,FALSE())),""))</f>
        <v/>
      </c>
      <c r="T67" s="7" t="str">
        <f aca="false">IF(A67="","",IFERROR(VLOOKUP(A67,AutoEvidence!$A$2:$G$400,4,FALSE())&amp;"",""))</f>
        <v/>
      </c>
      <c r="U67" s="6"/>
      <c r="V67" s="6"/>
      <c r="W67" s="9"/>
      <c r="X67" s="6"/>
      <c r="Y67" s="6"/>
      <c r="Z67" s="9"/>
      <c r="AA67" s="15"/>
      <c r="AB67" s="13" t="str">
        <f aca="false">IF(M67="Gap",1,IF(M67="OK",0,""))</f>
        <v/>
      </c>
      <c r="AC67" s="16" t="str">
        <f aca="false">IF(P67&lt;&gt;"",VALUE(RIGHT(P67,1))*1000+ROW(),"")</f>
        <v/>
      </c>
      <c r="AD67" s="16" t="str">
        <f aca="false">IF(ISNUMBER(L67),MIN(L67,K67),"")</f>
        <v/>
      </c>
      <c r="AE67" s="16" t="str">
        <f aca="false">IF(AND(ISNUMBER(SEARCH(" PA "," "&amp;SUBSTITUTE($I67,","," ")&amp;" ")),ISNUMBER($L67)),$L67,"")</f>
        <v/>
      </c>
      <c r="AF67" s="16" t="str">
        <f aca="false">IF(AND(ISNUMBER(SEARCH(" PO "," "&amp;SUBSTITUTE($I67,","," ")&amp;" ")),ISNUMBER($L67)),$L67,"")</f>
        <v/>
      </c>
      <c r="AG67" s="16" t="str">
        <f aca="false">IF(AND(ISNUMBER(SEARCH(" MFA "," "&amp;SUBSTITUTE($I67,","," ")&amp;" ")),ISNUMBER($L67)),$L67,"")</f>
        <v/>
      </c>
      <c r="AH67" s="16" t="str">
        <f aca="false">IF(AND(ISNUMBER(SEARCH(" RAP "," "&amp;SUBSTITUTE($I67,","," ")&amp;" ")),ISNUMBER($L67)),$L67,"")</f>
        <v/>
      </c>
      <c r="AI67" s="16" t="str">
        <f aca="false">IF(AND(ISNUMBER(SEARCH(" AC "," "&amp;SUBSTITUTE($I67,","," ")&amp;" ")),ISNUMBER($L67)),$L67,"")</f>
        <v/>
      </c>
      <c r="AJ67" s="16" t="str">
        <f aca="false">IF(AND(ISNUMBER(SEARCH(" MAC "," "&amp;SUBSTITUTE($I67,","," ")&amp;" ")),ISNUMBER($L67)),$L67,"")</f>
        <v/>
      </c>
      <c r="AK67" s="16" t="str">
        <f aca="false">IF(AND(ISNUMBER(SEARCH(" UAH "," "&amp;SUBSTITUTE($I67,","," ")&amp;" ")),ISNUMBER($L67)),$L67,"")</f>
        <v/>
      </c>
      <c r="AL67" s="16" t="str">
        <f aca="false">IF(AND(ISNUMBER(SEARCH(" RB "," "&amp;SUBSTITUTE($I67,","," ")&amp;" ")),ISNUMBER($L67)),$L67,"")</f>
        <v/>
      </c>
    </row>
    <row r="68" customFormat="false" ht="55.5" hidden="false" customHeight="true" outlineLevel="0" collapsed="false">
      <c r="A68" s="4" t="s">
        <v>569</v>
      </c>
      <c r="B68" s="5" t="s">
        <v>526</v>
      </c>
      <c r="C68" s="5" t="s">
        <v>527</v>
      </c>
      <c r="D68" s="5" t="s">
        <v>570</v>
      </c>
      <c r="E68" s="5" t="s">
        <v>571</v>
      </c>
      <c r="F68" s="5" t="s">
        <v>572</v>
      </c>
      <c r="G68" s="5" t="s">
        <v>573</v>
      </c>
      <c r="H68" s="5" t="s">
        <v>574</v>
      </c>
      <c r="I68" s="13"/>
      <c r="J68" s="13" t="s">
        <v>46</v>
      </c>
      <c r="K68" s="9" t="n">
        <v>2</v>
      </c>
      <c r="L68" s="9"/>
      <c r="M68" s="13" t="str">
        <f aca="false">IF(ISNUMBER(L68),IF(L68&lt;K68,"Gap","OK"),IF(L68="N/A","N/A",""))</f>
        <v/>
      </c>
      <c r="N68" s="9"/>
      <c r="O68" s="9"/>
      <c r="P68" s="13" t="str">
        <f aca="false">IF(AND(M68="Gap",N68&lt;&gt;"",O68&lt;&gt;""),VLOOKUP(N68&amp;O68,Lists!$H$4:$I$12,2,FALSE()),"")</f>
        <v/>
      </c>
      <c r="Q68" s="13" t="str">
        <f aca="false">IF(AND(M68="Gap",O68="S",OR(N68="H",N68="M")),"Yes","")</f>
        <v/>
      </c>
      <c r="R68" s="9" t="s">
        <v>46</v>
      </c>
      <c r="S68" s="14" t="str">
        <f aca="false">IF(A68="","",IFERROR(IF(OR(VLOOKUP(A68,AutoEvidence!$A$2:$G$400,2,FALSE())="Collected",VLOOKUP(A68,AutoEvidence!$A$2:$G$400,2,FALSE())="Partial"),VLOOKUP(A68,AutoEvidence!$A$2:$G$400,3,FALSE())&amp;" ("&amp;VLOOKUP(A68,AutoEvidence!$A$2:$G$400,2,FALSE())&amp;")",VLOOKUP(A68,AutoEvidence!$A$2:$G$400,2,FALSE())),""))</f>
        <v/>
      </c>
      <c r="T68" s="7" t="str">
        <f aca="false">IF(A68="","",IFERROR(VLOOKUP(A68,AutoEvidence!$A$2:$G$400,4,FALSE())&amp;"",""))</f>
        <v/>
      </c>
      <c r="U68" s="6"/>
      <c r="V68" s="6"/>
      <c r="W68" s="9"/>
      <c r="X68" s="6"/>
      <c r="Y68" s="6"/>
      <c r="Z68" s="9"/>
      <c r="AA68" s="15"/>
      <c r="AB68" s="13" t="str">
        <f aca="false">IF(M68="Gap",1,IF(M68="OK",0,""))</f>
        <v/>
      </c>
      <c r="AC68" s="16" t="str">
        <f aca="false">IF(P68&lt;&gt;"",VALUE(RIGHT(P68,1))*1000+ROW(),"")</f>
        <v/>
      </c>
      <c r="AD68" s="16" t="str">
        <f aca="false">IF(ISNUMBER(L68),MIN(L68,K68),"")</f>
        <v/>
      </c>
      <c r="AE68" s="16" t="str">
        <f aca="false">IF(AND(ISNUMBER(SEARCH(" PA "," "&amp;SUBSTITUTE($I68,","," ")&amp;" ")),ISNUMBER($L68)),$L68,"")</f>
        <v/>
      </c>
      <c r="AF68" s="16" t="str">
        <f aca="false">IF(AND(ISNUMBER(SEARCH(" PO "," "&amp;SUBSTITUTE($I68,","," ")&amp;" ")),ISNUMBER($L68)),$L68,"")</f>
        <v/>
      </c>
      <c r="AG68" s="16" t="str">
        <f aca="false">IF(AND(ISNUMBER(SEARCH(" MFA "," "&amp;SUBSTITUTE($I68,","," ")&amp;" ")),ISNUMBER($L68)),$L68,"")</f>
        <v/>
      </c>
      <c r="AH68" s="16" t="str">
        <f aca="false">IF(AND(ISNUMBER(SEARCH(" RAP "," "&amp;SUBSTITUTE($I68,","," ")&amp;" ")),ISNUMBER($L68)),$L68,"")</f>
        <v/>
      </c>
      <c r="AI68" s="16" t="str">
        <f aca="false">IF(AND(ISNUMBER(SEARCH(" AC "," "&amp;SUBSTITUTE($I68,","," ")&amp;" ")),ISNUMBER($L68)),$L68,"")</f>
        <v/>
      </c>
      <c r="AJ68" s="16" t="str">
        <f aca="false">IF(AND(ISNUMBER(SEARCH(" MAC "," "&amp;SUBSTITUTE($I68,","," ")&amp;" ")),ISNUMBER($L68)),$L68,"")</f>
        <v/>
      </c>
      <c r="AK68" s="16" t="str">
        <f aca="false">IF(AND(ISNUMBER(SEARCH(" UAH "," "&amp;SUBSTITUTE($I68,","," ")&amp;" ")),ISNUMBER($L68)),$L68,"")</f>
        <v/>
      </c>
      <c r="AL68" s="16" t="str">
        <f aca="false">IF(AND(ISNUMBER(SEARCH(" RB "," "&amp;SUBSTITUTE($I68,","," ")&amp;" ")),ISNUMBER($L68)),$L68,"")</f>
        <v/>
      </c>
    </row>
    <row r="69" customFormat="false" ht="55.5" hidden="false" customHeight="true" outlineLevel="0" collapsed="false">
      <c r="A69" s="4" t="s">
        <v>575</v>
      </c>
      <c r="B69" s="5" t="s">
        <v>526</v>
      </c>
      <c r="C69" s="5" t="s">
        <v>527</v>
      </c>
      <c r="D69" s="5" t="s">
        <v>576</v>
      </c>
      <c r="E69" s="5" t="s">
        <v>577</v>
      </c>
      <c r="F69" s="5" t="s">
        <v>578</v>
      </c>
      <c r="G69" s="5" t="s">
        <v>579</v>
      </c>
      <c r="H69" s="5" t="s">
        <v>580</v>
      </c>
      <c r="I69" s="13"/>
      <c r="J69" s="13" t="s">
        <v>48</v>
      </c>
      <c r="K69" s="9" t="n">
        <v>2</v>
      </c>
      <c r="L69" s="9"/>
      <c r="M69" s="13" t="str">
        <f aca="false">IF(ISNUMBER(L69),IF(L69&lt;K69,"Gap","OK"),IF(L69="N/A","N/A",""))</f>
        <v/>
      </c>
      <c r="N69" s="9"/>
      <c r="O69" s="9"/>
      <c r="P69" s="13" t="str">
        <f aca="false">IF(AND(M69="Gap",N69&lt;&gt;"",O69&lt;&gt;""),VLOOKUP(N69&amp;O69,Lists!$H$4:$I$12,2,FALSE()),"")</f>
        <v/>
      </c>
      <c r="Q69" s="13" t="str">
        <f aca="false">IF(AND(M69="Gap",O69="S",OR(N69="H",N69="M")),"Yes","")</f>
        <v/>
      </c>
      <c r="R69" s="9" t="s">
        <v>48</v>
      </c>
      <c r="S69" s="14" t="str">
        <f aca="false">IF(A69="","",IFERROR(IF(OR(VLOOKUP(A69,AutoEvidence!$A$2:$G$400,2,FALSE())="Collected",VLOOKUP(A69,AutoEvidence!$A$2:$G$400,2,FALSE())="Partial"),VLOOKUP(A69,AutoEvidence!$A$2:$G$400,3,FALSE())&amp;" ("&amp;VLOOKUP(A69,AutoEvidence!$A$2:$G$400,2,FALSE())&amp;")",VLOOKUP(A69,AutoEvidence!$A$2:$G$400,2,FALSE())),""))</f>
        <v/>
      </c>
      <c r="T69" s="7" t="str">
        <f aca="false">IF(A69="","",IFERROR(VLOOKUP(A69,AutoEvidence!$A$2:$G$400,4,FALSE())&amp;"",""))</f>
        <v/>
      </c>
      <c r="U69" s="6"/>
      <c r="V69" s="6"/>
      <c r="W69" s="9"/>
      <c r="X69" s="6"/>
      <c r="Y69" s="6"/>
      <c r="Z69" s="9"/>
      <c r="AA69" s="15"/>
      <c r="AB69" s="13" t="str">
        <f aca="false">IF(M69="Gap",1,IF(M69="OK",0,""))</f>
        <v/>
      </c>
      <c r="AC69" s="16" t="str">
        <f aca="false">IF(P69&lt;&gt;"",VALUE(RIGHT(P69,1))*1000+ROW(),"")</f>
        <v/>
      </c>
      <c r="AD69" s="16" t="str">
        <f aca="false">IF(ISNUMBER(L69),MIN(L69,K69),"")</f>
        <v/>
      </c>
      <c r="AE69" s="16" t="str">
        <f aca="false">IF(AND(ISNUMBER(SEARCH(" PA "," "&amp;SUBSTITUTE($I69,","," ")&amp;" ")),ISNUMBER($L69)),$L69,"")</f>
        <v/>
      </c>
      <c r="AF69" s="16" t="str">
        <f aca="false">IF(AND(ISNUMBER(SEARCH(" PO "," "&amp;SUBSTITUTE($I69,","," ")&amp;" ")),ISNUMBER($L69)),$L69,"")</f>
        <v/>
      </c>
      <c r="AG69" s="16" t="str">
        <f aca="false">IF(AND(ISNUMBER(SEARCH(" MFA "," "&amp;SUBSTITUTE($I69,","," ")&amp;" ")),ISNUMBER($L69)),$L69,"")</f>
        <v/>
      </c>
      <c r="AH69" s="16" t="str">
        <f aca="false">IF(AND(ISNUMBER(SEARCH(" RAP "," "&amp;SUBSTITUTE($I69,","," ")&amp;" ")),ISNUMBER($L69)),$L69,"")</f>
        <v/>
      </c>
      <c r="AI69" s="16" t="str">
        <f aca="false">IF(AND(ISNUMBER(SEARCH(" AC "," "&amp;SUBSTITUTE($I69,","," ")&amp;" ")),ISNUMBER($L69)),$L69,"")</f>
        <v/>
      </c>
      <c r="AJ69" s="16" t="str">
        <f aca="false">IF(AND(ISNUMBER(SEARCH(" MAC "," "&amp;SUBSTITUTE($I69,","," ")&amp;" ")),ISNUMBER($L69)),$L69,"")</f>
        <v/>
      </c>
      <c r="AK69" s="16" t="str">
        <f aca="false">IF(AND(ISNUMBER(SEARCH(" UAH "," "&amp;SUBSTITUTE($I69,","," ")&amp;" ")),ISNUMBER($L69)),$L69,"")</f>
        <v/>
      </c>
      <c r="AL69" s="16" t="str">
        <f aca="false">IF(AND(ISNUMBER(SEARCH(" RB "," "&amp;SUBSTITUTE($I69,","," ")&amp;" ")),ISNUMBER($L69)),$L69,"")</f>
        <v/>
      </c>
    </row>
    <row r="70" customFormat="false" ht="55.5" hidden="false" customHeight="true" outlineLevel="0" collapsed="false">
      <c r="A70" s="4" t="s">
        <v>581</v>
      </c>
      <c r="B70" s="5" t="s">
        <v>526</v>
      </c>
      <c r="C70" s="5" t="s">
        <v>527</v>
      </c>
      <c r="D70" s="5" t="s">
        <v>582</v>
      </c>
      <c r="E70" s="5" t="s">
        <v>583</v>
      </c>
      <c r="F70" s="5" t="s">
        <v>584</v>
      </c>
      <c r="G70" s="5" t="s">
        <v>585</v>
      </c>
      <c r="H70" s="5" t="s">
        <v>586</v>
      </c>
      <c r="I70" s="13"/>
      <c r="J70" s="13" t="s">
        <v>50</v>
      </c>
      <c r="K70" s="9" t="n">
        <v>2</v>
      </c>
      <c r="L70" s="9"/>
      <c r="M70" s="13" t="str">
        <f aca="false">IF(ISNUMBER(L70),IF(L70&lt;K70,"Gap","OK"),IF(L70="N/A","N/A",""))</f>
        <v/>
      </c>
      <c r="N70" s="9"/>
      <c r="O70" s="9"/>
      <c r="P70" s="13" t="str">
        <f aca="false">IF(AND(M70="Gap",N70&lt;&gt;"",O70&lt;&gt;""),VLOOKUP(N70&amp;O70,Lists!$H$4:$I$12,2,FALSE()),"")</f>
        <v/>
      </c>
      <c r="Q70" s="13" t="str">
        <f aca="false">IF(AND(M70="Gap",O70="S",OR(N70="H",N70="M")),"Yes","")</f>
        <v/>
      </c>
      <c r="R70" s="9" t="s">
        <v>50</v>
      </c>
      <c r="S70" s="14" t="str">
        <f aca="false">IF(A70="","",IFERROR(IF(OR(VLOOKUP(A70,AutoEvidence!$A$2:$G$400,2,FALSE())="Collected",VLOOKUP(A70,AutoEvidence!$A$2:$G$400,2,FALSE())="Partial"),VLOOKUP(A70,AutoEvidence!$A$2:$G$400,3,FALSE())&amp;" ("&amp;VLOOKUP(A70,AutoEvidence!$A$2:$G$400,2,FALSE())&amp;")",VLOOKUP(A70,AutoEvidence!$A$2:$G$400,2,FALSE())),""))</f>
        <v/>
      </c>
      <c r="T70" s="7" t="str">
        <f aca="false">IF(A70="","",IFERROR(VLOOKUP(A70,AutoEvidence!$A$2:$G$400,4,FALSE())&amp;"",""))</f>
        <v/>
      </c>
      <c r="U70" s="6"/>
      <c r="V70" s="6"/>
      <c r="W70" s="9"/>
      <c r="X70" s="6"/>
      <c r="Y70" s="6"/>
      <c r="Z70" s="9"/>
      <c r="AA70" s="15"/>
      <c r="AB70" s="13" t="str">
        <f aca="false">IF(M70="Gap",1,IF(M70="OK",0,""))</f>
        <v/>
      </c>
      <c r="AC70" s="16" t="str">
        <f aca="false">IF(P70&lt;&gt;"",VALUE(RIGHT(P70,1))*1000+ROW(),"")</f>
        <v/>
      </c>
      <c r="AD70" s="16" t="str">
        <f aca="false">IF(ISNUMBER(L70),MIN(L70,K70),"")</f>
        <v/>
      </c>
      <c r="AE70" s="16" t="str">
        <f aca="false">IF(AND(ISNUMBER(SEARCH(" PA "," "&amp;SUBSTITUTE($I70,","," ")&amp;" ")),ISNUMBER($L70)),$L70,"")</f>
        <v/>
      </c>
      <c r="AF70" s="16" t="str">
        <f aca="false">IF(AND(ISNUMBER(SEARCH(" PO "," "&amp;SUBSTITUTE($I70,","," ")&amp;" ")),ISNUMBER($L70)),$L70,"")</f>
        <v/>
      </c>
      <c r="AG70" s="16" t="str">
        <f aca="false">IF(AND(ISNUMBER(SEARCH(" MFA "," "&amp;SUBSTITUTE($I70,","," ")&amp;" ")),ISNUMBER($L70)),$L70,"")</f>
        <v/>
      </c>
      <c r="AH70" s="16" t="str">
        <f aca="false">IF(AND(ISNUMBER(SEARCH(" RAP "," "&amp;SUBSTITUTE($I70,","," ")&amp;" ")),ISNUMBER($L70)),$L70,"")</f>
        <v/>
      </c>
      <c r="AI70" s="16" t="str">
        <f aca="false">IF(AND(ISNUMBER(SEARCH(" AC "," "&amp;SUBSTITUTE($I70,","," ")&amp;" ")),ISNUMBER($L70)),$L70,"")</f>
        <v/>
      </c>
      <c r="AJ70" s="16" t="str">
        <f aca="false">IF(AND(ISNUMBER(SEARCH(" MAC "," "&amp;SUBSTITUTE($I70,","," ")&amp;" ")),ISNUMBER($L70)),$L70,"")</f>
        <v/>
      </c>
      <c r="AK70" s="16" t="str">
        <f aca="false">IF(AND(ISNUMBER(SEARCH(" UAH "," "&amp;SUBSTITUTE($I70,","," ")&amp;" ")),ISNUMBER($L70)),$L70,"")</f>
        <v/>
      </c>
      <c r="AL70" s="16" t="str">
        <f aca="false">IF(AND(ISNUMBER(SEARCH(" RB "," "&amp;SUBSTITUTE($I70,","," ")&amp;" ")),ISNUMBER($L70)),$L70,"")</f>
        <v/>
      </c>
    </row>
    <row r="71" customFormat="false" ht="42.75" hidden="false" customHeight="true" outlineLevel="0" collapsed="false">
      <c r="A71" s="4" t="s">
        <v>587</v>
      </c>
      <c r="B71" s="5" t="s">
        <v>526</v>
      </c>
      <c r="C71" s="5" t="s">
        <v>527</v>
      </c>
      <c r="D71" s="5" t="s">
        <v>588</v>
      </c>
      <c r="E71" s="5" t="s">
        <v>589</v>
      </c>
      <c r="F71" s="5" t="s">
        <v>590</v>
      </c>
      <c r="G71" s="5" t="s">
        <v>591</v>
      </c>
      <c r="H71" s="5" t="s">
        <v>592</v>
      </c>
      <c r="I71" s="13"/>
      <c r="J71" s="13" t="s">
        <v>48</v>
      </c>
      <c r="K71" s="9" t="n">
        <v>2</v>
      </c>
      <c r="L71" s="9"/>
      <c r="M71" s="13" t="str">
        <f aca="false">IF(ISNUMBER(L71),IF(L71&lt;K71,"Gap","OK"),IF(L71="N/A","N/A",""))</f>
        <v/>
      </c>
      <c r="N71" s="9"/>
      <c r="O71" s="9"/>
      <c r="P71" s="13" t="str">
        <f aca="false">IF(AND(M71="Gap",N71&lt;&gt;"",O71&lt;&gt;""),VLOOKUP(N71&amp;O71,Lists!$H$4:$I$12,2,FALSE()),"")</f>
        <v/>
      </c>
      <c r="Q71" s="13" t="str">
        <f aca="false">IF(AND(M71="Gap",O71="S",OR(N71="H",N71="M")),"Yes","")</f>
        <v/>
      </c>
      <c r="R71" s="9" t="s">
        <v>48</v>
      </c>
      <c r="S71" s="14" t="str">
        <f aca="false">IF(A71="","",IFERROR(IF(OR(VLOOKUP(A71,AutoEvidence!$A$2:$G$400,2,FALSE())="Collected",VLOOKUP(A71,AutoEvidence!$A$2:$G$400,2,FALSE())="Partial"),VLOOKUP(A71,AutoEvidence!$A$2:$G$400,3,FALSE())&amp;" ("&amp;VLOOKUP(A71,AutoEvidence!$A$2:$G$400,2,FALSE())&amp;")",VLOOKUP(A71,AutoEvidence!$A$2:$G$400,2,FALSE())),""))</f>
        <v/>
      </c>
      <c r="T71" s="7" t="str">
        <f aca="false">IF(A71="","",IFERROR(VLOOKUP(A71,AutoEvidence!$A$2:$G$400,4,FALSE())&amp;"",""))</f>
        <v/>
      </c>
      <c r="U71" s="6"/>
      <c r="V71" s="6"/>
      <c r="W71" s="9"/>
      <c r="X71" s="6"/>
      <c r="Y71" s="6"/>
      <c r="Z71" s="9"/>
      <c r="AA71" s="15"/>
      <c r="AB71" s="13" t="str">
        <f aca="false">IF(M71="Gap",1,IF(M71="OK",0,""))</f>
        <v/>
      </c>
      <c r="AC71" s="16" t="str">
        <f aca="false">IF(P71&lt;&gt;"",VALUE(RIGHT(P71,1))*1000+ROW(),"")</f>
        <v/>
      </c>
      <c r="AD71" s="16" t="str">
        <f aca="false">IF(ISNUMBER(L71),MIN(L71,K71),"")</f>
        <v/>
      </c>
      <c r="AE71" s="16" t="str">
        <f aca="false">IF(AND(ISNUMBER(SEARCH(" PA "," "&amp;SUBSTITUTE($I71,","," ")&amp;" ")),ISNUMBER($L71)),$L71,"")</f>
        <v/>
      </c>
      <c r="AF71" s="16" t="str">
        <f aca="false">IF(AND(ISNUMBER(SEARCH(" PO "," "&amp;SUBSTITUTE($I71,","," ")&amp;" ")),ISNUMBER($L71)),$L71,"")</f>
        <v/>
      </c>
      <c r="AG71" s="16" t="str">
        <f aca="false">IF(AND(ISNUMBER(SEARCH(" MFA "," "&amp;SUBSTITUTE($I71,","," ")&amp;" ")),ISNUMBER($L71)),$L71,"")</f>
        <v/>
      </c>
      <c r="AH71" s="16" t="str">
        <f aca="false">IF(AND(ISNUMBER(SEARCH(" RAP "," "&amp;SUBSTITUTE($I71,","," ")&amp;" ")),ISNUMBER($L71)),$L71,"")</f>
        <v/>
      </c>
      <c r="AI71" s="16" t="str">
        <f aca="false">IF(AND(ISNUMBER(SEARCH(" AC "," "&amp;SUBSTITUTE($I71,","," ")&amp;" ")),ISNUMBER($L71)),$L71,"")</f>
        <v/>
      </c>
      <c r="AJ71" s="16" t="str">
        <f aca="false">IF(AND(ISNUMBER(SEARCH(" MAC "," "&amp;SUBSTITUTE($I71,","," ")&amp;" ")),ISNUMBER($L71)),$L71,"")</f>
        <v/>
      </c>
      <c r="AK71" s="16" t="str">
        <f aca="false">IF(AND(ISNUMBER(SEARCH(" UAH "," "&amp;SUBSTITUTE($I71,","," ")&amp;" ")),ISNUMBER($L71)),$L71,"")</f>
        <v/>
      </c>
      <c r="AL71" s="16" t="str">
        <f aca="false">IF(AND(ISNUMBER(SEARCH(" RB "," "&amp;SUBSTITUTE($I71,","," ")&amp;" ")),ISNUMBER($L71)),$L71,"")</f>
        <v/>
      </c>
    </row>
    <row r="72" customFormat="false" ht="42.75" hidden="false" customHeight="true" outlineLevel="0" collapsed="false">
      <c r="A72" s="4" t="s">
        <v>593</v>
      </c>
      <c r="B72" s="5" t="s">
        <v>526</v>
      </c>
      <c r="C72" s="5" t="s">
        <v>527</v>
      </c>
      <c r="D72" s="5" t="s">
        <v>594</v>
      </c>
      <c r="E72" s="5" t="s">
        <v>595</v>
      </c>
      <c r="F72" s="5" t="s">
        <v>596</v>
      </c>
      <c r="G72" s="5" t="s">
        <v>597</v>
      </c>
      <c r="H72" s="5" t="s">
        <v>598</v>
      </c>
      <c r="I72" s="13" t="s">
        <v>354</v>
      </c>
      <c r="J72" s="13" t="s">
        <v>50</v>
      </c>
      <c r="K72" s="9" t="n">
        <v>2</v>
      </c>
      <c r="L72" s="9"/>
      <c r="M72" s="13" t="str">
        <f aca="false">IF(ISNUMBER(L72),IF(L72&lt;K72,"Gap","OK"),IF(L72="N/A","N/A",""))</f>
        <v/>
      </c>
      <c r="N72" s="9"/>
      <c r="O72" s="9"/>
      <c r="P72" s="13" t="str">
        <f aca="false">IF(AND(M72="Gap",N72&lt;&gt;"",O72&lt;&gt;""),VLOOKUP(N72&amp;O72,Lists!$H$4:$I$12,2,FALSE()),"")</f>
        <v/>
      </c>
      <c r="Q72" s="13" t="str">
        <f aca="false">IF(AND(M72="Gap",O72="S",OR(N72="H",N72="M")),"Yes","")</f>
        <v/>
      </c>
      <c r="R72" s="9" t="s">
        <v>50</v>
      </c>
      <c r="S72" s="14" t="str">
        <f aca="false">IF(A72="","",IFERROR(IF(OR(VLOOKUP(A72,AutoEvidence!$A$2:$G$400,2,FALSE())="Collected",VLOOKUP(A72,AutoEvidence!$A$2:$G$400,2,FALSE())="Partial"),VLOOKUP(A72,AutoEvidence!$A$2:$G$400,3,FALSE())&amp;" ("&amp;VLOOKUP(A72,AutoEvidence!$A$2:$G$400,2,FALSE())&amp;")",VLOOKUP(A72,AutoEvidence!$A$2:$G$400,2,FALSE())),""))</f>
        <v/>
      </c>
      <c r="T72" s="7" t="str">
        <f aca="false">IF(A72="","",IFERROR(VLOOKUP(A72,AutoEvidence!$A$2:$G$400,4,FALSE())&amp;"",""))</f>
        <v/>
      </c>
      <c r="U72" s="6"/>
      <c r="V72" s="6"/>
      <c r="W72" s="9"/>
      <c r="X72" s="6"/>
      <c r="Y72" s="6"/>
      <c r="Z72" s="9"/>
      <c r="AA72" s="15"/>
      <c r="AB72" s="13" t="str">
        <f aca="false">IF(M72="Gap",1,IF(M72="OK",0,""))</f>
        <v/>
      </c>
      <c r="AC72" s="16" t="str">
        <f aca="false">IF(P72&lt;&gt;"",VALUE(RIGHT(P72,1))*1000+ROW(),"")</f>
        <v/>
      </c>
      <c r="AD72" s="16" t="str">
        <f aca="false">IF(ISNUMBER(L72),MIN(L72,K72),"")</f>
        <v/>
      </c>
      <c r="AE72" s="16" t="str">
        <f aca="false">IF(AND(ISNUMBER(SEARCH(" PA "," "&amp;SUBSTITUTE($I72,","," ")&amp;" ")),ISNUMBER($L72)),$L72,"")</f>
        <v/>
      </c>
      <c r="AF72" s="16" t="str">
        <f aca="false">IF(AND(ISNUMBER(SEARCH(" PO "," "&amp;SUBSTITUTE($I72,","," ")&amp;" ")),ISNUMBER($L72)),$L72,"")</f>
        <v/>
      </c>
      <c r="AG72" s="16" t="str">
        <f aca="false">IF(AND(ISNUMBER(SEARCH(" MFA "," "&amp;SUBSTITUTE($I72,","," ")&amp;" ")),ISNUMBER($L72)),$L72,"")</f>
        <v/>
      </c>
      <c r="AH72" s="16" t="str">
        <f aca="false">IF(AND(ISNUMBER(SEARCH(" RAP "," "&amp;SUBSTITUTE($I72,","," ")&amp;" ")),ISNUMBER($L72)),$L72,"")</f>
        <v/>
      </c>
      <c r="AI72" s="16" t="str">
        <f aca="false">IF(AND(ISNUMBER(SEARCH(" AC "," "&amp;SUBSTITUTE($I72,","," ")&amp;" ")),ISNUMBER($L72)),$L72,"")</f>
        <v/>
      </c>
      <c r="AJ72" s="16" t="str">
        <f aca="false">IF(AND(ISNUMBER(SEARCH(" MAC "," "&amp;SUBSTITUTE($I72,","," ")&amp;" ")),ISNUMBER($L72)),$L72,"")</f>
        <v/>
      </c>
      <c r="AK72" s="16" t="str">
        <f aca="false">IF(AND(ISNUMBER(SEARCH(" UAH "," "&amp;SUBSTITUTE($I72,","," ")&amp;" ")),ISNUMBER($L72)),$L72,"")</f>
        <v/>
      </c>
      <c r="AL72" s="16" t="str">
        <f aca="false">IF(AND(ISNUMBER(SEARCH(" RB "," "&amp;SUBSTITUTE($I72,","," ")&amp;" ")),ISNUMBER($L72)),$L72,"")</f>
        <v/>
      </c>
    </row>
    <row r="73" customFormat="false" ht="55.5" hidden="false" customHeight="true" outlineLevel="0" collapsed="false">
      <c r="A73" s="17" t="s">
        <v>599</v>
      </c>
      <c r="B73" s="18" t="s">
        <v>600</v>
      </c>
      <c r="C73" s="18" t="s">
        <v>601</v>
      </c>
      <c r="D73" s="5" t="s">
        <v>602</v>
      </c>
      <c r="E73" s="5" t="s">
        <v>603</v>
      </c>
      <c r="F73" s="5" t="s">
        <v>604</v>
      </c>
      <c r="G73" s="5" t="s">
        <v>605</v>
      </c>
      <c r="H73" s="5" t="s">
        <v>606</v>
      </c>
      <c r="I73" s="13" t="s">
        <v>321</v>
      </c>
      <c r="J73" s="13" t="s">
        <v>46</v>
      </c>
      <c r="K73" s="9" t="n">
        <v>2</v>
      </c>
      <c r="L73" s="9"/>
      <c r="M73" s="13" t="str">
        <f aca="false">IF(ISNUMBER(L73),IF(L73&lt;K73,"Gap","OK"),IF(L73="N/A","N/A",""))</f>
        <v/>
      </c>
      <c r="N73" s="9"/>
      <c r="O73" s="9"/>
      <c r="P73" s="13" t="str">
        <f aca="false">IF(AND(M73="Gap",N73&lt;&gt;"",O73&lt;&gt;""),VLOOKUP(N73&amp;O73,Lists!$H$4:$I$12,2,FALSE()),"")</f>
        <v/>
      </c>
      <c r="Q73" s="13" t="str">
        <f aca="false">IF(AND(M73="Gap",O73="S",OR(N73="H",N73="M")),"Yes","")</f>
        <v/>
      </c>
      <c r="R73" s="9" t="s">
        <v>46</v>
      </c>
      <c r="S73" s="14" t="str">
        <f aca="false">IF(A73="","",IFERROR(IF(OR(VLOOKUP(A73,AutoEvidence!$A$2:$G$400,2,FALSE())="Collected",VLOOKUP(A73,AutoEvidence!$A$2:$G$400,2,FALSE())="Partial"),VLOOKUP(A73,AutoEvidence!$A$2:$G$400,3,FALSE())&amp;" ("&amp;VLOOKUP(A73,AutoEvidence!$A$2:$G$400,2,FALSE())&amp;")",VLOOKUP(A73,AutoEvidence!$A$2:$G$400,2,FALSE())),""))</f>
        <v/>
      </c>
      <c r="T73" s="7" t="str">
        <f aca="false">IF(A73="","",IFERROR(VLOOKUP(A73,AutoEvidence!$A$2:$G$400,4,FALSE())&amp;"",""))</f>
        <v/>
      </c>
      <c r="U73" s="6"/>
      <c r="V73" s="6"/>
      <c r="W73" s="9"/>
      <c r="X73" s="6"/>
      <c r="Y73" s="6"/>
      <c r="Z73" s="9"/>
      <c r="AA73" s="15"/>
      <c r="AB73" s="13" t="str">
        <f aca="false">IF(M73="Gap",1,IF(M73="OK",0,""))</f>
        <v/>
      </c>
      <c r="AC73" s="16" t="str">
        <f aca="false">IF(P73&lt;&gt;"",VALUE(RIGHT(P73,1))*1000+ROW(),"")</f>
        <v/>
      </c>
      <c r="AD73" s="16" t="str">
        <f aca="false">IF(ISNUMBER(L73),MIN(L73,K73),"")</f>
        <v/>
      </c>
      <c r="AE73" s="16" t="str">
        <f aca="false">IF(AND(ISNUMBER(SEARCH(" PA "," "&amp;SUBSTITUTE($I73,","," ")&amp;" ")),ISNUMBER($L73)),$L73,"")</f>
        <v/>
      </c>
      <c r="AF73" s="16" t="str">
        <f aca="false">IF(AND(ISNUMBER(SEARCH(" PO "," "&amp;SUBSTITUTE($I73,","," ")&amp;" ")),ISNUMBER($L73)),$L73,"")</f>
        <v/>
      </c>
      <c r="AG73" s="16" t="str">
        <f aca="false">IF(AND(ISNUMBER(SEARCH(" MFA "," "&amp;SUBSTITUTE($I73,","," ")&amp;" ")),ISNUMBER($L73)),$L73,"")</f>
        <v/>
      </c>
      <c r="AH73" s="16" t="str">
        <f aca="false">IF(AND(ISNUMBER(SEARCH(" RAP "," "&amp;SUBSTITUTE($I73,","," ")&amp;" ")),ISNUMBER($L73)),$L73,"")</f>
        <v/>
      </c>
      <c r="AI73" s="16" t="str">
        <f aca="false">IF(AND(ISNUMBER(SEARCH(" AC "," "&amp;SUBSTITUTE($I73,","," ")&amp;" ")),ISNUMBER($L73)),$L73,"")</f>
        <v/>
      </c>
      <c r="AJ73" s="16" t="str">
        <f aca="false">IF(AND(ISNUMBER(SEARCH(" MAC "," "&amp;SUBSTITUTE($I73,","," ")&amp;" ")),ISNUMBER($L73)),$L73,"")</f>
        <v/>
      </c>
      <c r="AK73" s="16" t="str">
        <f aca="false">IF(AND(ISNUMBER(SEARCH(" UAH "," "&amp;SUBSTITUTE($I73,","," ")&amp;" ")),ISNUMBER($L73)),$L73,"")</f>
        <v/>
      </c>
      <c r="AL73" s="16" t="str">
        <f aca="false">IF(AND(ISNUMBER(SEARCH(" RB "," "&amp;SUBSTITUTE($I73,","," ")&amp;" ")),ISNUMBER($L73)),$L73,"")</f>
        <v/>
      </c>
    </row>
    <row r="74" customFormat="false" ht="55.5" hidden="false" customHeight="true" outlineLevel="0" collapsed="false">
      <c r="A74" s="17" t="s">
        <v>607</v>
      </c>
      <c r="B74" s="18" t="s">
        <v>600</v>
      </c>
      <c r="C74" s="18" t="s">
        <v>601</v>
      </c>
      <c r="D74" s="5" t="s">
        <v>608</v>
      </c>
      <c r="E74" s="5" t="s">
        <v>609</v>
      </c>
      <c r="F74" s="5" t="s">
        <v>610</v>
      </c>
      <c r="G74" s="5" t="s">
        <v>611</v>
      </c>
      <c r="H74" s="5" t="s">
        <v>612</v>
      </c>
      <c r="I74" s="13" t="s">
        <v>321</v>
      </c>
      <c r="J74" s="13" t="s">
        <v>46</v>
      </c>
      <c r="K74" s="9" t="n">
        <v>2</v>
      </c>
      <c r="L74" s="9"/>
      <c r="M74" s="13" t="str">
        <f aca="false">IF(ISNUMBER(L74),IF(L74&lt;K74,"Gap","OK"),IF(L74="N/A","N/A",""))</f>
        <v/>
      </c>
      <c r="N74" s="9"/>
      <c r="O74" s="9"/>
      <c r="P74" s="13" t="str">
        <f aca="false">IF(AND(M74="Gap",N74&lt;&gt;"",O74&lt;&gt;""),VLOOKUP(N74&amp;O74,Lists!$H$4:$I$12,2,FALSE()),"")</f>
        <v/>
      </c>
      <c r="Q74" s="13" t="str">
        <f aca="false">IF(AND(M74="Gap",O74="S",OR(N74="H",N74="M")),"Yes","")</f>
        <v/>
      </c>
      <c r="R74" s="9" t="s">
        <v>46</v>
      </c>
      <c r="S74" s="14" t="str">
        <f aca="false">IF(A74="","",IFERROR(IF(OR(VLOOKUP(A74,AutoEvidence!$A$2:$G$400,2,FALSE())="Collected",VLOOKUP(A74,AutoEvidence!$A$2:$G$400,2,FALSE())="Partial"),VLOOKUP(A74,AutoEvidence!$A$2:$G$400,3,FALSE())&amp;" ("&amp;VLOOKUP(A74,AutoEvidence!$A$2:$G$400,2,FALSE())&amp;")",VLOOKUP(A74,AutoEvidence!$A$2:$G$400,2,FALSE())),""))</f>
        <v/>
      </c>
      <c r="T74" s="7" t="str">
        <f aca="false">IF(A74="","",IFERROR(VLOOKUP(A74,AutoEvidence!$A$2:$G$400,4,FALSE())&amp;"",""))</f>
        <v/>
      </c>
      <c r="U74" s="6"/>
      <c r="V74" s="6"/>
      <c r="W74" s="9"/>
      <c r="X74" s="6"/>
      <c r="Y74" s="6"/>
      <c r="Z74" s="9"/>
      <c r="AA74" s="15"/>
      <c r="AB74" s="13" t="str">
        <f aca="false">IF(M74="Gap",1,IF(M74="OK",0,""))</f>
        <v/>
      </c>
      <c r="AC74" s="16" t="str">
        <f aca="false">IF(P74&lt;&gt;"",VALUE(RIGHT(P74,1))*1000+ROW(),"")</f>
        <v/>
      </c>
      <c r="AD74" s="16" t="str">
        <f aca="false">IF(ISNUMBER(L74),MIN(L74,K74),"")</f>
        <v/>
      </c>
      <c r="AE74" s="16" t="str">
        <f aca="false">IF(AND(ISNUMBER(SEARCH(" PA "," "&amp;SUBSTITUTE($I74,","," ")&amp;" ")),ISNUMBER($L74)),$L74,"")</f>
        <v/>
      </c>
      <c r="AF74" s="16" t="str">
        <f aca="false">IF(AND(ISNUMBER(SEARCH(" PO "," "&amp;SUBSTITUTE($I74,","," ")&amp;" ")),ISNUMBER($L74)),$L74,"")</f>
        <v/>
      </c>
      <c r="AG74" s="16" t="str">
        <f aca="false">IF(AND(ISNUMBER(SEARCH(" MFA "," "&amp;SUBSTITUTE($I74,","," ")&amp;" ")),ISNUMBER($L74)),$L74,"")</f>
        <v/>
      </c>
      <c r="AH74" s="16" t="str">
        <f aca="false">IF(AND(ISNUMBER(SEARCH(" RAP "," "&amp;SUBSTITUTE($I74,","," ")&amp;" ")),ISNUMBER($L74)),$L74,"")</f>
        <v/>
      </c>
      <c r="AI74" s="16" t="str">
        <f aca="false">IF(AND(ISNUMBER(SEARCH(" AC "," "&amp;SUBSTITUTE($I74,","," ")&amp;" ")),ISNUMBER($L74)),$L74,"")</f>
        <v/>
      </c>
      <c r="AJ74" s="16" t="str">
        <f aca="false">IF(AND(ISNUMBER(SEARCH(" MAC "," "&amp;SUBSTITUTE($I74,","," ")&amp;" ")),ISNUMBER($L74)),$L74,"")</f>
        <v/>
      </c>
      <c r="AK74" s="16" t="str">
        <f aca="false">IF(AND(ISNUMBER(SEARCH(" UAH "," "&amp;SUBSTITUTE($I74,","," ")&amp;" ")),ISNUMBER($L74)),$L74,"")</f>
        <v/>
      </c>
      <c r="AL74" s="16" t="str">
        <f aca="false">IF(AND(ISNUMBER(SEARCH(" RB "," "&amp;SUBSTITUTE($I74,","," ")&amp;" ")),ISNUMBER($L74)),$L74,"")</f>
        <v/>
      </c>
    </row>
    <row r="75" customFormat="false" ht="55.5" hidden="false" customHeight="true" outlineLevel="0" collapsed="false">
      <c r="A75" s="17" t="s">
        <v>613</v>
      </c>
      <c r="B75" s="18" t="s">
        <v>600</v>
      </c>
      <c r="C75" s="18" t="s">
        <v>601</v>
      </c>
      <c r="D75" s="5" t="s">
        <v>614</v>
      </c>
      <c r="E75" s="5" t="s">
        <v>615</v>
      </c>
      <c r="F75" s="5" t="s">
        <v>616</v>
      </c>
      <c r="G75" s="5" t="s">
        <v>617</v>
      </c>
      <c r="H75" s="5" t="s">
        <v>618</v>
      </c>
      <c r="I75" s="13" t="s">
        <v>321</v>
      </c>
      <c r="J75" s="13" t="s">
        <v>50</v>
      </c>
      <c r="K75" s="9" t="n">
        <v>2</v>
      </c>
      <c r="L75" s="9"/>
      <c r="M75" s="13" t="str">
        <f aca="false">IF(ISNUMBER(L75),IF(L75&lt;K75,"Gap","OK"),IF(L75="N/A","N/A",""))</f>
        <v/>
      </c>
      <c r="N75" s="9"/>
      <c r="O75" s="9"/>
      <c r="P75" s="13" t="str">
        <f aca="false">IF(AND(M75="Gap",N75&lt;&gt;"",O75&lt;&gt;""),VLOOKUP(N75&amp;O75,Lists!$H$4:$I$12,2,FALSE()),"")</f>
        <v/>
      </c>
      <c r="Q75" s="13" t="str">
        <f aca="false">IF(AND(M75="Gap",O75="S",OR(N75="H",N75="M")),"Yes","")</f>
        <v/>
      </c>
      <c r="R75" s="9" t="s">
        <v>50</v>
      </c>
      <c r="S75" s="14" t="str">
        <f aca="false">IF(A75="","",IFERROR(IF(OR(VLOOKUP(A75,AutoEvidence!$A$2:$G$400,2,FALSE())="Collected",VLOOKUP(A75,AutoEvidence!$A$2:$G$400,2,FALSE())="Partial"),VLOOKUP(A75,AutoEvidence!$A$2:$G$400,3,FALSE())&amp;" ("&amp;VLOOKUP(A75,AutoEvidence!$A$2:$G$400,2,FALSE())&amp;")",VLOOKUP(A75,AutoEvidence!$A$2:$G$400,2,FALSE())),""))</f>
        <v/>
      </c>
      <c r="T75" s="7" t="str">
        <f aca="false">IF(A75="","",IFERROR(VLOOKUP(A75,AutoEvidence!$A$2:$G$400,4,FALSE())&amp;"",""))</f>
        <v/>
      </c>
      <c r="U75" s="6"/>
      <c r="V75" s="6"/>
      <c r="W75" s="9"/>
      <c r="X75" s="6"/>
      <c r="Y75" s="6"/>
      <c r="Z75" s="9"/>
      <c r="AA75" s="15"/>
      <c r="AB75" s="13" t="str">
        <f aca="false">IF(M75="Gap",1,IF(M75="OK",0,""))</f>
        <v/>
      </c>
      <c r="AC75" s="16" t="str">
        <f aca="false">IF(P75&lt;&gt;"",VALUE(RIGHT(P75,1))*1000+ROW(),"")</f>
        <v/>
      </c>
      <c r="AD75" s="16" t="str">
        <f aca="false">IF(ISNUMBER(L75),MIN(L75,K75),"")</f>
        <v/>
      </c>
      <c r="AE75" s="16" t="str">
        <f aca="false">IF(AND(ISNUMBER(SEARCH(" PA "," "&amp;SUBSTITUTE($I75,","," ")&amp;" ")),ISNUMBER($L75)),$L75,"")</f>
        <v/>
      </c>
      <c r="AF75" s="16" t="str">
        <f aca="false">IF(AND(ISNUMBER(SEARCH(" PO "," "&amp;SUBSTITUTE($I75,","," ")&amp;" ")),ISNUMBER($L75)),$L75,"")</f>
        <v/>
      </c>
      <c r="AG75" s="16" t="str">
        <f aca="false">IF(AND(ISNUMBER(SEARCH(" MFA "," "&amp;SUBSTITUTE($I75,","," ")&amp;" ")),ISNUMBER($L75)),$L75,"")</f>
        <v/>
      </c>
      <c r="AH75" s="16" t="str">
        <f aca="false">IF(AND(ISNUMBER(SEARCH(" RAP "," "&amp;SUBSTITUTE($I75,","," ")&amp;" ")),ISNUMBER($L75)),$L75,"")</f>
        <v/>
      </c>
      <c r="AI75" s="16" t="str">
        <f aca="false">IF(AND(ISNUMBER(SEARCH(" AC "," "&amp;SUBSTITUTE($I75,","," ")&amp;" ")),ISNUMBER($L75)),$L75,"")</f>
        <v/>
      </c>
      <c r="AJ75" s="16" t="str">
        <f aca="false">IF(AND(ISNUMBER(SEARCH(" MAC "," "&amp;SUBSTITUTE($I75,","," ")&amp;" ")),ISNUMBER($L75)),$L75,"")</f>
        <v/>
      </c>
      <c r="AK75" s="16" t="str">
        <f aca="false">IF(AND(ISNUMBER(SEARCH(" UAH "," "&amp;SUBSTITUTE($I75,","," ")&amp;" ")),ISNUMBER($L75)),$L75,"")</f>
        <v/>
      </c>
      <c r="AL75" s="16" t="str">
        <f aca="false">IF(AND(ISNUMBER(SEARCH(" RB "," "&amp;SUBSTITUTE($I75,","," ")&amp;" ")),ISNUMBER($L75)),$L75,"")</f>
        <v/>
      </c>
    </row>
    <row r="76" customFormat="false" ht="69" hidden="false" customHeight="true" outlineLevel="0" collapsed="false">
      <c r="A76" s="17" t="s">
        <v>65</v>
      </c>
      <c r="B76" s="18" t="s">
        <v>600</v>
      </c>
      <c r="C76" s="18" t="s">
        <v>601</v>
      </c>
      <c r="D76" s="5" t="s">
        <v>619</v>
      </c>
      <c r="E76" s="5" t="s">
        <v>620</v>
      </c>
      <c r="F76" s="5" t="s">
        <v>621</v>
      </c>
      <c r="G76" s="5" t="s">
        <v>622</v>
      </c>
      <c r="H76" s="5" t="s">
        <v>623</v>
      </c>
      <c r="I76" s="13" t="s">
        <v>321</v>
      </c>
      <c r="J76" s="13" t="s">
        <v>48</v>
      </c>
      <c r="K76" s="9" t="n">
        <v>2</v>
      </c>
      <c r="L76" s="9"/>
      <c r="M76" s="13" t="str">
        <f aca="false">IF(ISNUMBER(L76),IF(L76&lt;K76,"Gap","OK"),IF(L76="N/A","N/A",""))</f>
        <v/>
      </c>
      <c r="N76" s="9"/>
      <c r="O76" s="9"/>
      <c r="P76" s="13" t="str">
        <f aca="false">IF(AND(M76="Gap",N76&lt;&gt;"",O76&lt;&gt;""),VLOOKUP(N76&amp;O76,Lists!$H$4:$I$12,2,FALSE()),"")</f>
        <v/>
      </c>
      <c r="Q76" s="13" t="str">
        <f aca="false">IF(AND(M76="Gap",O76="S",OR(N76="H",N76="M")),"Yes","")</f>
        <v/>
      </c>
      <c r="R76" s="9" t="s">
        <v>48</v>
      </c>
      <c r="S76" s="14" t="str">
        <f aca="false">IF(A76="","",IFERROR(IF(OR(VLOOKUP(A76,AutoEvidence!$A$2:$G$400,2,FALSE())="Collected",VLOOKUP(A76,AutoEvidence!$A$2:$G$400,2,FALSE())="Partial"),VLOOKUP(A76,AutoEvidence!$A$2:$G$400,3,FALSE())&amp;" ("&amp;VLOOKUP(A76,AutoEvidence!$A$2:$G$400,2,FALSE())&amp;")",VLOOKUP(A76,AutoEvidence!$A$2:$G$400,2,FALSE())),""))</f>
        <v/>
      </c>
      <c r="T76" s="7" t="str">
        <f aca="false">IF(A76="","",IFERROR(VLOOKUP(A76,AutoEvidence!$A$2:$G$400,4,FALSE())&amp;"",""))</f>
        <v/>
      </c>
      <c r="U76" s="6"/>
      <c r="V76" s="6"/>
      <c r="W76" s="9"/>
      <c r="X76" s="6"/>
      <c r="Y76" s="6"/>
      <c r="Z76" s="9"/>
      <c r="AA76" s="15"/>
      <c r="AB76" s="13" t="str">
        <f aca="false">IF(M76="Gap",1,IF(M76="OK",0,""))</f>
        <v/>
      </c>
      <c r="AC76" s="16" t="str">
        <f aca="false">IF(P76&lt;&gt;"",VALUE(RIGHT(P76,1))*1000+ROW(),"")</f>
        <v/>
      </c>
      <c r="AD76" s="16" t="str">
        <f aca="false">IF(ISNUMBER(L76),MIN(L76,K76),"")</f>
        <v/>
      </c>
      <c r="AE76" s="16" t="str">
        <f aca="false">IF(AND(ISNUMBER(SEARCH(" PA "," "&amp;SUBSTITUTE($I76,","," ")&amp;" ")),ISNUMBER($L76)),$L76,"")</f>
        <v/>
      </c>
      <c r="AF76" s="16" t="str">
        <f aca="false">IF(AND(ISNUMBER(SEARCH(" PO "," "&amp;SUBSTITUTE($I76,","," ")&amp;" ")),ISNUMBER($L76)),$L76,"")</f>
        <v/>
      </c>
      <c r="AG76" s="16" t="str">
        <f aca="false">IF(AND(ISNUMBER(SEARCH(" MFA "," "&amp;SUBSTITUTE($I76,","," ")&amp;" ")),ISNUMBER($L76)),$L76,"")</f>
        <v/>
      </c>
      <c r="AH76" s="16" t="str">
        <f aca="false">IF(AND(ISNUMBER(SEARCH(" RAP "," "&amp;SUBSTITUTE($I76,","," ")&amp;" ")),ISNUMBER($L76)),$L76,"")</f>
        <v/>
      </c>
      <c r="AI76" s="16" t="str">
        <f aca="false">IF(AND(ISNUMBER(SEARCH(" AC "," "&amp;SUBSTITUTE($I76,","," ")&amp;" ")),ISNUMBER($L76)),$L76,"")</f>
        <v/>
      </c>
      <c r="AJ76" s="16" t="str">
        <f aca="false">IF(AND(ISNUMBER(SEARCH(" MAC "," "&amp;SUBSTITUTE($I76,","," ")&amp;" ")),ISNUMBER($L76)),$L76,"")</f>
        <v/>
      </c>
      <c r="AK76" s="16" t="str">
        <f aca="false">IF(AND(ISNUMBER(SEARCH(" UAH "," "&amp;SUBSTITUTE($I76,","," ")&amp;" ")),ISNUMBER($L76)),$L76,"")</f>
        <v/>
      </c>
      <c r="AL76" s="16" t="str">
        <f aca="false">IF(AND(ISNUMBER(SEARCH(" RB "," "&amp;SUBSTITUTE($I76,","," ")&amp;" ")),ISNUMBER($L76)),$L76,"")</f>
        <v/>
      </c>
    </row>
    <row r="77" customFormat="false" ht="42.75" hidden="false" customHeight="true" outlineLevel="0" collapsed="false">
      <c r="A77" s="17" t="s">
        <v>624</v>
      </c>
      <c r="B77" s="18" t="s">
        <v>600</v>
      </c>
      <c r="C77" s="18" t="s">
        <v>601</v>
      </c>
      <c r="D77" s="5" t="s">
        <v>625</v>
      </c>
      <c r="E77" s="5" t="s">
        <v>626</v>
      </c>
      <c r="F77" s="5" t="s">
        <v>627</v>
      </c>
      <c r="G77" s="5" t="s">
        <v>628</v>
      </c>
      <c r="H77" s="5" t="s">
        <v>629</v>
      </c>
      <c r="I77" s="13" t="s">
        <v>321</v>
      </c>
      <c r="J77" s="13" t="s">
        <v>46</v>
      </c>
      <c r="K77" s="9" t="n">
        <v>2</v>
      </c>
      <c r="L77" s="9"/>
      <c r="M77" s="13" t="str">
        <f aca="false">IF(ISNUMBER(L77),IF(L77&lt;K77,"Gap","OK"),IF(L77="N/A","N/A",""))</f>
        <v/>
      </c>
      <c r="N77" s="9"/>
      <c r="O77" s="9"/>
      <c r="P77" s="13" t="str">
        <f aca="false">IF(AND(M77="Gap",N77&lt;&gt;"",O77&lt;&gt;""),VLOOKUP(N77&amp;O77,Lists!$H$4:$I$12,2,FALSE()),"")</f>
        <v/>
      </c>
      <c r="Q77" s="13" t="str">
        <f aca="false">IF(AND(M77="Gap",O77="S",OR(N77="H",N77="M")),"Yes","")</f>
        <v/>
      </c>
      <c r="R77" s="9" t="s">
        <v>46</v>
      </c>
      <c r="S77" s="14" t="str">
        <f aca="false">IF(A77="","",IFERROR(IF(OR(VLOOKUP(A77,AutoEvidence!$A$2:$G$400,2,FALSE())="Collected",VLOOKUP(A77,AutoEvidence!$A$2:$G$400,2,FALSE())="Partial"),VLOOKUP(A77,AutoEvidence!$A$2:$G$400,3,FALSE())&amp;" ("&amp;VLOOKUP(A77,AutoEvidence!$A$2:$G$400,2,FALSE())&amp;")",VLOOKUP(A77,AutoEvidence!$A$2:$G$400,2,FALSE())),""))</f>
        <v/>
      </c>
      <c r="T77" s="7" t="str">
        <f aca="false">IF(A77="","",IFERROR(VLOOKUP(A77,AutoEvidence!$A$2:$G$400,4,FALSE())&amp;"",""))</f>
        <v/>
      </c>
      <c r="U77" s="6"/>
      <c r="V77" s="6"/>
      <c r="W77" s="9"/>
      <c r="X77" s="6"/>
      <c r="Y77" s="6"/>
      <c r="Z77" s="9"/>
      <c r="AA77" s="15"/>
      <c r="AB77" s="13" t="str">
        <f aca="false">IF(M77="Gap",1,IF(M77="OK",0,""))</f>
        <v/>
      </c>
      <c r="AC77" s="16" t="str">
        <f aca="false">IF(P77&lt;&gt;"",VALUE(RIGHT(P77,1))*1000+ROW(),"")</f>
        <v/>
      </c>
      <c r="AD77" s="16" t="str">
        <f aca="false">IF(ISNUMBER(L77),MIN(L77,K77),"")</f>
        <v/>
      </c>
      <c r="AE77" s="16" t="str">
        <f aca="false">IF(AND(ISNUMBER(SEARCH(" PA "," "&amp;SUBSTITUTE($I77,","," ")&amp;" ")),ISNUMBER($L77)),$L77,"")</f>
        <v/>
      </c>
      <c r="AF77" s="16" t="str">
        <f aca="false">IF(AND(ISNUMBER(SEARCH(" PO "," "&amp;SUBSTITUTE($I77,","," ")&amp;" ")),ISNUMBER($L77)),$L77,"")</f>
        <v/>
      </c>
      <c r="AG77" s="16" t="str">
        <f aca="false">IF(AND(ISNUMBER(SEARCH(" MFA "," "&amp;SUBSTITUTE($I77,","," ")&amp;" ")),ISNUMBER($L77)),$L77,"")</f>
        <v/>
      </c>
      <c r="AH77" s="16" t="str">
        <f aca="false">IF(AND(ISNUMBER(SEARCH(" RAP "," "&amp;SUBSTITUTE($I77,","," ")&amp;" ")),ISNUMBER($L77)),$L77,"")</f>
        <v/>
      </c>
      <c r="AI77" s="16" t="str">
        <f aca="false">IF(AND(ISNUMBER(SEARCH(" AC "," "&amp;SUBSTITUTE($I77,","," ")&amp;" ")),ISNUMBER($L77)),$L77,"")</f>
        <v/>
      </c>
      <c r="AJ77" s="16" t="str">
        <f aca="false">IF(AND(ISNUMBER(SEARCH(" MAC "," "&amp;SUBSTITUTE($I77,","," ")&amp;" ")),ISNUMBER($L77)),$L77,"")</f>
        <v/>
      </c>
      <c r="AK77" s="16" t="str">
        <f aca="false">IF(AND(ISNUMBER(SEARCH(" UAH "," "&amp;SUBSTITUTE($I77,","," ")&amp;" ")),ISNUMBER($L77)),$L77,"")</f>
        <v/>
      </c>
      <c r="AL77" s="16" t="str">
        <f aca="false">IF(AND(ISNUMBER(SEARCH(" RB "," "&amp;SUBSTITUTE($I77,","," ")&amp;" ")),ISNUMBER($L77)),$L77,"")</f>
        <v/>
      </c>
    </row>
    <row r="78" customFormat="false" ht="55.5" hidden="false" customHeight="true" outlineLevel="0" collapsed="false">
      <c r="A78" s="17" t="s">
        <v>630</v>
      </c>
      <c r="B78" s="18" t="s">
        <v>600</v>
      </c>
      <c r="C78" s="18" t="s">
        <v>601</v>
      </c>
      <c r="D78" s="5" t="s">
        <v>631</v>
      </c>
      <c r="E78" s="5" t="s">
        <v>632</v>
      </c>
      <c r="F78" s="5" t="s">
        <v>633</v>
      </c>
      <c r="G78" s="5" t="s">
        <v>634</v>
      </c>
      <c r="H78" s="5" t="s">
        <v>635</v>
      </c>
      <c r="I78" s="13" t="s">
        <v>321</v>
      </c>
      <c r="J78" s="13" t="s">
        <v>46</v>
      </c>
      <c r="K78" s="9" t="n">
        <v>2</v>
      </c>
      <c r="L78" s="9"/>
      <c r="M78" s="13" t="str">
        <f aca="false">IF(ISNUMBER(L78),IF(L78&lt;K78,"Gap","OK"),IF(L78="N/A","N/A",""))</f>
        <v/>
      </c>
      <c r="N78" s="9"/>
      <c r="O78" s="9"/>
      <c r="P78" s="13" t="str">
        <f aca="false">IF(AND(M78="Gap",N78&lt;&gt;"",O78&lt;&gt;""),VLOOKUP(N78&amp;O78,Lists!$H$4:$I$12,2,FALSE()),"")</f>
        <v/>
      </c>
      <c r="Q78" s="13" t="str">
        <f aca="false">IF(AND(M78="Gap",O78="S",OR(N78="H",N78="M")),"Yes","")</f>
        <v/>
      </c>
      <c r="R78" s="9" t="s">
        <v>46</v>
      </c>
      <c r="S78" s="14" t="str">
        <f aca="false">IF(A78="","",IFERROR(IF(OR(VLOOKUP(A78,AutoEvidence!$A$2:$G$400,2,FALSE())="Collected",VLOOKUP(A78,AutoEvidence!$A$2:$G$400,2,FALSE())="Partial"),VLOOKUP(A78,AutoEvidence!$A$2:$G$400,3,FALSE())&amp;" ("&amp;VLOOKUP(A78,AutoEvidence!$A$2:$G$400,2,FALSE())&amp;")",VLOOKUP(A78,AutoEvidence!$A$2:$G$400,2,FALSE())),""))</f>
        <v/>
      </c>
      <c r="T78" s="7" t="str">
        <f aca="false">IF(A78="","",IFERROR(VLOOKUP(A78,AutoEvidence!$A$2:$G$400,4,FALSE())&amp;"",""))</f>
        <v/>
      </c>
      <c r="U78" s="6"/>
      <c r="V78" s="6"/>
      <c r="W78" s="9"/>
      <c r="X78" s="6"/>
      <c r="Y78" s="6"/>
      <c r="Z78" s="9"/>
      <c r="AA78" s="15"/>
      <c r="AB78" s="13" t="str">
        <f aca="false">IF(M78="Gap",1,IF(M78="OK",0,""))</f>
        <v/>
      </c>
      <c r="AC78" s="16" t="str">
        <f aca="false">IF(P78&lt;&gt;"",VALUE(RIGHT(P78,1))*1000+ROW(),"")</f>
        <v/>
      </c>
      <c r="AD78" s="16" t="str">
        <f aca="false">IF(ISNUMBER(L78),MIN(L78,K78),"")</f>
        <v/>
      </c>
      <c r="AE78" s="16" t="str">
        <f aca="false">IF(AND(ISNUMBER(SEARCH(" PA "," "&amp;SUBSTITUTE($I78,","," ")&amp;" ")),ISNUMBER($L78)),$L78,"")</f>
        <v/>
      </c>
      <c r="AF78" s="16" t="str">
        <f aca="false">IF(AND(ISNUMBER(SEARCH(" PO "," "&amp;SUBSTITUTE($I78,","," ")&amp;" ")),ISNUMBER($L78)),$L78,"")</f>
        <v/>
      </c>
      <c r="AG78" s="16" t="str">
        <f aca="false">IF(AND(ISNUMBER(SEARCH(" MFA "," "&amp;SUBSTITUTE($I78,","," ")&amp;" ")),ISNUMBER($L78)),$L78,"")</f>
        <v/>
      </c>
      <c r="AH78" s="16" t="str">
        <f aca="false">IF(AND(ISNUMBER(SEARCH(" RAP "," "&amp;SUBSTITUTE($I78,","," ")&amp;" ")),ISNUMBER($L78)),$L78,"")</f>
        <v/>
      </c>
      <c r="AI78" s="16" t="str">
        <f aca="false">IF(AND(ISNUMBER(SEARCH(" AC "," "&amp;SUBSTITUTE($I78,","," ")&amp;" ")),ISNUMBER($L78)),$L78,"")</f>
        <v/>
      </c>
      <c r="AJ78" s="16" t="str">
        <f aca="false">IF(AND(ISNUMBER(SEARCH(" MAC "," "&amp;SUBSTITUTE($I78,","," ")&amp;" ")),ISNUMBER($L78)),$L78,"")</f>
        <v/>
      </c>
      <c r="AK78" s="16" t="str">
        <f aca="false">IF(AND(ISNUMBER(SEARCH(" UAH "," "&amp;SUBSTITUTE($I78,","," ")&amp;" ")),ISNUMBER($L78)),$L78,"")</f>
        <v/>
      </c>
      <c r="AL78" s="16" t="str">
        <f aca="false">IF(AND(ISNUMBER(SEARCH(" RB "," "&amp;SUBSTITUTE($I78,","," ")&amp;" ")),ISNUMBER($L78)),$L78,"")</f>
        <v/>
      </c>
    </row>
    <row r="79" customFormat="false" ht="55.5" hidden="false" customHeight="true" outlineLevel="0" collapsed="false">
      <c r="A79" s="17" t="s">
        <v>636</v>
      </c>
      <c r="B79" s="18" t="s">
        <v>600</v>
      </c>
      <c r="C79" s="18" t="s">
        <v>601</v>
      </c>
      <c r="D79" s="5" t="s">
        <v>637</v>
      </c>
      <c r="E79" s="5" t="s">
        <v>638</v>
      </c>
      <c r="F79" s="5" t="s">
        <v>639</v>
      </c>
      <c r="G79" s="5" t="s">
        <v>640</v>
      </c>
      <c r="H79" s="5" t="s">
        <v>641</v>
      </c>
      <c r="I79" s="13" t="s">
        <v>321</v>
      </c>
      <c r="J79" s="13" t="s">
        <v>50</v>
      </c>
      <c r="K79" s="9" t="n">
        <v>2</v>
      </c>
      <c r="L79" s="9"/>
      <c r="M79" s="13" t="str">
        <f aca="false">IF(ISNUMBER(L79),IF(L79&lt;K79,"Gap","OK"),IF(L79="N/A","N/A",""))</f>
        <v/>
      </c>
      <c r="N79" s="9"/>
      <c r="O79" s="9"/>
      <c r="P79" s="13" t="str">
        <f aca="false">IF(AND(M79="Gap",N79&lt;&gt;"",O79&lt;&gt;""),VLOOKUP(N79&amp;O79,Lists!$H$4:$I$12,2,FALSE()),"")</f>
        <v/>
      </c>
      <c r="Q79" s="13" t="str">
        <f aca="false">IF(AND(M79="Gap",O79="S",OR(N79="H",N79="M")),"Yes","")</f>
        <v/>
      </c>
      <c r="R79" s="9" t="s">
        <v>50</v>
      </c>
      <c r="S79" s="14" t="str">
        <f aca="false">IF(A79="","",IFERROR(IF(OR(VLOOKUP(A79,AutoEvidence!$A$2:$G$400,2,FALSE())="Collected",VLOOKUP(A79,AutoEvidence!$A$2:$G$400,2,FALSE())="Partial"),VLOOKUP(A79,AutoEvidence!$A$2:$G$400,3,FALSE())&amp;" ("&amp;VLOOKUP(A79,AutoEvidence!$A$2:$G$400,2,FALSE())&amp;")",VLOOKUP(A79,AutoEvidence!$A$2:$G$400,2,FALSE())),""))</f>
        <v/>
      </c>
      <c r="T79" s="7" t="str">
        <f aca="false">IF(A79="","",IFERROR(VLOOKUP(A79,AutoEvidence!$A$2:$G$400,4,FALSE())&amp;"",""))</f>
        <v/>
      </c>
      <c r="U79" s="6"/>
      <c r="V79" s="6"/>
      <c r="W79" s="9"/>
      <c r="X79" s="6"/>
      <c r="Y79" s="6"/>
      <c r="Z79" s="9"/>
      <c r="AA79" s="15"/>
      <c r="AB79" s="13" t="str">
        <f aca="false">IF(M79="Gap",1,IF(M79="OK",0,""))</f>
        <v/>
      </c>
      <c r="AC79" s="16" t="str">
        <f aca="false">IF(P79&lt;&gt;"",VALUE(RIGHT(P79,1))*1000+ROW(),"")</f>
        <v/>
      </c>
      <c r="AD79" s="16" t="str">
        <f aca="false">IF(ISNUMBER(L79),MIN(L79,K79),"")</f>
        <v/>
      </c>
      <c r="AE79" s="16" t="str">
        <f aca="false">IF(AND(ISNUMBER(SEARCH(" PA "," "&amp;SUBSTITUTE($I79,","," ")&amp;" ")),ISNUMBER($L79)),$L79,"")</f>
        <v/>
      </c>
      <c r="AF79" s="16" t="str">
        <f aca="false">IF(AND(ISNUMBER(SEARCH(" PO "," "&amp;SUBSTITUTE($I79,","," ")&amp;" ")),ISNUMBER($L79)),$L79,"")</f>
        <v/>
      </c>
      <c r="AG79" s="16" t="str">
        <f aca="false">IF(AND(ISNUMBER(SEARCH(" MFA "," "&amp;SUBSTITUTE($I79,","," ")&amp;" ")),ISNUMBER($L79)),$L79,"")</f>
        <v/>
      </c>
      <c r="AH79" s="16" t="str">
        <f aca="false">IF(AND(ISNUMBER(SEARCH(" RAP "," "&amp;SUBSTITUTE($I79,","," ")&amp;" ")),ISNUMBER($L79)),$L79,"")</f>
        <v/>
      </c>
      <c r="AI79" s="16" t="str">
        <f aca="false">IF(AND(ISNUMBER(SEARCH(" AC "," "&amp;SUBSTITUTE($I79,","," ")&amp;" ")),ISNUMBER($L79)),$L79,"")</f>
        <v/>
      </c>
      <c r="AJ79" s="16" t="str">
        <f aca="false">IF(AND(ISNUMBER(SEARCH(" MAC "," "&amp;SUBSTITUTE($I79,","," ")&amp;" ")),ISNUMBER($L79)),$L79,"")</f>
        <v/>
      </c>
      <c r="AK79" s="16" t="str">
        <f aca="false">IF(AND(ISNUMBER(SEARCH(" UAH "," "&amp;SUBSTITUTE($I79,","," ")&amp;" ")),ISNUMBER($L79)),$L79,"")</f>
        <v/>
      </c>
      <c r="AL79" s="16" t="str">
        <f aca="false">IF(AND(ISNUMBER(SEARCH(" RB "," "&amp;SUBSTITUTE($I79,","," ")&amp;" ")),ISNUMBER($L79)),$L79,"")</f>
        <v/>
      </c>
    </row>
    <row r="80" customFormat="false" ht="69" hidden="false" customHeight="true" outlineLevel="0" collapsed="false">
      <c r="A80" s="17" t="s">
        <v>642</v>
      </c>
      <c r="B80" s="18" t="s">
        <v>600</v>
      </c>
      <c r="C80" s="18" t="s">
        <v>601</v>
      </c>
      <c r="D80" s="5" t="s">
        <v>643</v>
      </c>
      <c r="E80" s="5" t="s">
        <v>644</v>
      </c>
      <c r="F80" s="5" t="s">
        <v>645</v>
      </c>
      <c r="G80" s="5" t="s">
        <v>646</v>
      </c>
      <c r="H80" s="5" t="s">
        <v>647</v>
      </c>
      <c r="I80" s="13" t="s">
        <v>321</v>
      </c>
      <c r="J80" s="13" t="s">
        <v>48</v>
      </c>
      <c r="K80" s="9" t="n">
        <v>2</v>
      </c>
      <c r="L80" s="9"/>
      <c r="M80" s="13" t="str">
        <f aca="false">IF(ISNUMBER(L80),IF(L80&lt;K80,"Gap","OK"),IF(L80="N/A","N/A",""))</f>
        <v/>
      </c>
      <c r="N80" s="9"/>
      <c r="O80" s="9"/>
      <c r="P80" s="13" t="str">
        <f aca="false">IF(AND(M80="Gap",N80&lt;&gt;"",O80&lt;&gt;""),VLOOKUP(N80&amp;O80,Lists!$H$4:$I$12,2,FALSE()),"")</f>
        <v/>
      </c>
      <c r="Q80" s="13" t="str">
        <f aca="false">IF(AND(M80="Gap",O80="S",OR(N80="H",N80="M")),"Yes","")</f>
        <v/>
      </c>
      <c r="R80" s="9" t="s">
        <v>48</v>
      </c>
      <c r="S80" s="14" t="str">
        <f aca="false">IF(A80="","",IFERROR(IF(OR(VLOOKUP(A80,AutoEvidence!$A$2:$G$400,2,FALSE())="Collected",VLOOKUP(A80,AutoEvidence!$A$2:$G$400,2,FALSE())="Partial"),VLOOKUP(A80,AutoEvidence!$A$2:$G$400,3,FALSE())&amp;" ("&amp;VLOOKUP(A80,AutoEvidence!$A$2:$G$400,2,FALSE())&amp;")",VLOOKUP(A80,AutoEvidence!$A$2:$G$400,2,FALSE())),""))</f>
        <v/>
      </c>
      <c r="T80" s="7" t="str">
        <f aca="false">IF(A80="","",IFERROR(VLOOKUP(A80,AutoEvidence!$A$2:$G$400,4,FALSE())&amp;"",""))</f>
        <v/>
      </c>
      <c r="U80" s="6"/>
      <c r="V80" s="6"/>
      <c r="W80" s="9"/>
      <c r="X80" s="6"/>
      <c r="Y80" s="6"/>
      <c r="Z80" s="9"/>
      <c r="AA80" s="15"/>
      <c r="AB80" s="13" t="str">
        <f aca="false">IF(M80="Gap",1,IF(M80="OK",0,""))</f>
        <v/>
      </c>
      <c r="AC80" s="16" t="str">
        <f aca="false">IF(P80&lt;&gt;"",VALUE(RIGHT(P80,1))*1000+ROW(),"")</f>
        <v/>
      </c>
      <c r="AD80" s="16" t="str">
        <f aca="false">IF(ISNUMBER(L80),MIN(L80,K80),"")</f>
        <v/>
      </c>
      <c r="AE80" s="16" t="str">
        <f aca="false">IF(AND(ISNUMBER(SEARCH(" PA "," "&amp;SUBSTITUTE($I80,","," ")&amp;" ")),ISNUMBER($L80)),$L80,"")</f>
        <v/>
      </c>
      <c r="AF80" s="16" t="str">
        <f aca="false">IF(AND(ISNUMBER(SEARCH(" PO "," "&amp;SUBSTITUTE($I80,","," ")&amp;" ")),ISNUMBER($L80)),$L80,"")</f>
        <v/>
      </c>
      <c r="AG80" s="16" t="str">
        <f aca="false">IF(AND(ISNUMBER(SEARCH(" MFA "," "&amp;SUBSTITUTE($I80,","," ")&amp;" ")),ISNUMBER($L80)),$L80,"")</f>
        <v/>
      </c>
      <c r="AH80" s="16" t="str">
        <f aca="false">IF(AND(ISNUMBER(SEARCH(" RAP "," "&amp;SUBSTITUTE($I80,","," ")&amp;" ")),ISNUMBER($L80)),$L80,"")</f>
        <v/>
      </c>
      <c r="AI80" s="16" t="str">
        <f aca="false">IF(AND(ISNUMBER(SEARCH(" AC "," "&amp;SUBSTITUTE($I80,","," ")&amp;" ")),ISNUMBER($L80)),$L80,"")</f>
        <v/>
      </c>
      <c r="AJ80" s="16" t="str">
        <f aca="false">IF(AND(ISNUMBER(SEARCH(" MAC "," "&amp;SUBSTITUTE($I80,","," ")&amp;" ")),ISNUMBER($L80)),$L80,"")</f>
        <v/>
      </c>
      <c r="AK80" s="16" t="str">
        <f aca="false">IF(AND(ISNUMBER(SEARCH(" UAH "," "&amp;SUBSTITUTE($I80,","," ")&amp;" ")),ISNUMBER($L80)),$L80,"")</f>
        <v/>
      </c>
      <c r="AL80" s="16" t="str">
        <f aca="false">IF(AND(ISNUMBER(SEARCH(" RB "," "&amp;SUBSTITUTE($I80,","," ")&amp;" ")),ISNUMBER($L80)),$L80,"")</f>
        <v/>
      </c>
    </row>
    <row r="81" customFormat="false" ht="55.5" hidden="false" customHeight="true" outlineLevel="0" collapsed="false">
      <c r="A81" s="17" t="s">
        <v>648</v>
      </c>
      <c r="B81" s="18" t="s">
        <v>600</v>
      </c>
      <c r="C81" s="18" t="s">
        <v>601</v>
      </c>
      <c r="D81" s="5" t="s">
        <v>649</v>
      </c>
      <c r="E81" s="5" t="s">
        <v>650</v>
      </c>
      <c r="F81" s="5" t="s">
        <v>651</v>
      </c>
      <c r="G81" s="5" t="s">
        <v>652</v>
      </c>
      <c r="H81" s="5" t="s">
        <v>653</v>
      </c>
      <c r="I81" s="13" t="s">
        <v>654</v>
      </c>
      <c r="J81" s="13" t="s">
        <v>46</v>
      </c>
      <c r="K81" s="9" t="n">
        <v>2</v>
      </c>
      <c r="L81" s="9"/>
      <c r="M81" s="13" t="str">
        <f aca="false">IF(ISNUMBER(L81),IF(L81&lt;K81,"Gap","OK"),IF(L81="N/A","N/A",""))</f>
        <v/>
      </c>
      <c r="N81" s="9"/>
      <c r="O81" s="9"/>
      <c r="P81" s="13" t="str">
        <f aca="false">IF(AND(M81="Gap",N81&lt;&gt;"",O81&lt;&gt;""),VLOOKUP(N81&amp;O81,Lists!$H$4:$I$12,2,FALSE()),"")</f>
        <v/>
      </c>
      <c r="Q81" s="13" t="str">
        <f aca="false">IF(AND(M81="Gap",O81="S",OR(N81="H",N81="M")),"Yes","")</f>
        <v/>
      </c>
      <c r="R81" s="9" t="s">
        <v>46</v>
      </c>
      <c r="S81" s="14" t="str">
        <f aca="false">IF(A81="","",IFERROR(IF(OR(VLOOKUP(A81,AutoEvidence!$A$2:$G$400,2,FALSE())="Collected",VLOOKUP(A81,AutoEvidence!$A$2:$G$400,2,FALSE())="Partial"),VLOOKUP(A81,AutoEvidence!$A$2:$G$400,3,FALSE())&amp;" ("&amp;VLOOKUP(A81,AutoEvidence!$A$2:$G$400,2,FALSE())&amp;")",VLOOKUP(A81,AutoEvidence!$A$2:$G$400,2,FALSE())),""))</f>
        <v/>
      </c>
      <c r="T81" s="7" t="str">
        <f aca="false">IF(A81="","",IFERROR(VLOOKUP(A81,AutoEvidence!$A$2:$G$400,4,FALSE())&amp;"",""))</f>
        <v/>
      </c>
      <c r="U81" s="6"/>
      <c r="V81" s="6"/>
      <c r="W81" s="9"/>
      <c r="X81" s="6"/>
      <c r="Y81" s="6"/>
      <c r="Z81" s="9"/>
      <c r="AA81" s="15"/>
      <c r="AB81" s="13" t="str">
        <f aca="false">IF(M81="Gap",1,IF(M81="OK",0,""))</f>
        <v/>
      </c>
      <c r="AC81" s="16" t="str">
        <f aca="false">IF(P81&lt;&gt;"",VALUE(RIGHT(P81,1))*1000+ROW(),"")</f>
        <v/>
      </c>
      <c r="AD81" s="16" t="str">
        <f aca="false">IF(ISNUMBER(L81),MIN(L81,K81),"")</f>
        <v/>
      </c>
      <c r="AE81" s="16" t="str">
        <f aca="false">IF(AND(ISNUMBER(SEARCH(" PA "," "&amp;SUBSTITUTE($I81,","," ")&amp;" ")),ISNUMBER($L81)),$L81,"")</f>
        <v/>
      </c>
      <c r="AF81" s="16" t="str">
        <f aca="false">IF(AND(ISNUMBER(SEARCH(" PO "," "&amp;SUBSTITUTE($I81,","," ")&amp;" ")),ISNUMBER($L81)),$L81,"")</f>
        <v/>
      </c>
      <c r="AG81" s="16" t="str">
        <f aca="false">IF(AND(ISNUMBER(SEARCH(" MFA "," "&amp;SUBSTITUTE($I81,","," ")&amp;" ")),ISNUMBER($L81)),$L81,"")</f>
        <v/>
      </c>
      <c r="AH81" s="16" t="str">
        <f aca="false">IF(AND(ISNUMBER(SEARCH(" RAP "," "&amp;SUBSTITUTE($I81,","," ")&amp;" ")),ISNUMBER($L81)),$L81,"")</f>
        <v/>
      </c>
      <c r="AI81" s="16" t="str">
        <f aca="false">IF(AND(ISNUMBER(SEARCH(" AC "," "&amp;SUBSTITUTE($I81,","," ")&amp;" ")),ISNUMBER($L81)),$L81,"")</f>
        <v/>
      </c>
      <c r="AJ81" s="16" t="str">
        <f aca="false">IF(AND(ISNUMBER(SEARCH(" MAC "," "&amp;SUBSTITUTE($I81,","," ")&amp;" ")),ISNUMBER($L81)),$L81,"")</f>
        <v/>
      </c>
      <c r="AK81" s="16" t="str">
        <f aca="false">IF(AND(ISNUMBER(SEARCH(" UAH "," "&amp;SUBSTITUTE($I81,","," ")&amp;" ")),ISNUMBER($L81)),$L81,"")</f>
        <v/>
      </c>
      <c r="AL81" s="16" t="str">
        <f aca="false">IF(AND(ISNUMBER(SEARCH(" RB "," "&amp;SUBSTITUTE($I81,","," ")&amp;" ")),ISNUMBER($L81)),$L81,"")</f>
        <v/>
      </c>
    </row>
    <row r="82" customFormat="false" ht="55.5" hidden="false" customHeight="true" outlineLevel="0" collapsed="false">
      <c r="A82" s="17" t="s">
        <v>655</v>
      </c>
      <c r="B82" s="18" t="s">
        <v>600</v>
      </c>
      <c r="C82" s="18" t="s">
        <v>601</v>
      </c>
      <c r="D82" s="5" t="s">
        <v>656</v>
      </c>
      <c r="E82" s="5" t="s">
        <v>657</v>
      </c>
      <c r="F82" s="5" t="s">
        <v>658</v>
      </c>
      <c r="G82" s="5" t="s">
        <v>659</v>
      </c>
      <c r="H82" s="5" t="s">
        <v>660</v>
      </c>
      <c r="I82" s="13" t="s">
        <v>321</v>
      </c>
      <c r="J82" s="13" t="s">
        <v>50</v>
      </c>
      <c r="K82" s="9" t="n">
        <v>2</v>
      </c>
      <c r="L82" s="9"/>
      <c r="M82" s="13" t="str">
        <f aca="false">IF(ISNUMBER(L82),IF(L82&lt;K82,"Gap","OK"),IF(L82="N/A","N/A",""))</f>
        <v/>
      </c>
      <c r="N82" s="9"/>
      <c r="O82" s="9"/>
      <c r="P82" s="13" t="str">
        <f aca="false">IF(AND(M82="Gap",N82&lt;&gt;"",O82&lt;&gt;""),VLOOKUP(N82&amp;O82,Lists!$H$4:$I$12,2,FALSE()),"")</f>
        <v/>
      </c>
      <c r="Q82" s="13" t="str">
        <f aca="false">IF(AND(M82="Gap",O82="S",OR(N82="H",N82="M")),"Yes","")</f>
        <v/>
      </c>
      <c r="R82" s="9" t="s">
        <v>50</v>
      </c>
      <c r="S82" s="14" t="str">
        <f aca="false">IF(A82="","",IFERROR(IF(OR(VLOOKUP(A82,AutoEvidence!$A$2:$G$400,2,FALSE())="Collected",VLOOKUP(A82,AutoEvidence!$A$2:$G$400,2,FALSE())="Partial"),VLOOKUP(A82,AutoEvidence!$A$2:$G$400,3,FALSE())&amp;" ("&amp;VLOOKUP(A82,AutoEvidence!$A$2:$G$400,2,FALSE())&amp;")",VLOOKUP(A82,AutoEvidence!$A$2:$G$400,2,FALSE())),""))</f>
        <v/>
      </c>
      <c r="T82" s="7" t="str">
        <f aca="false">IF(A82="","",IFERROR(VLOOKUP(A82,AutoEvidence!$A$2:$G$400,4,FALSE())&amp;"",""))</f>
        <v/>
      </c>
      <c r="U82" s="6"/>
      <c r="V82" s="6"/>
      <c r="W82" s="9"/>
      <c r="X82" s="6"/>
      <c r="Y82" s="6"/>
      <c r="Z82" s="9"/>
      <c r="AA82" s="15"/>
      <c r="AB82" s="13" t="str">
        <f aca="false">IF(M82="Gap",1,IF(M82="OK",0,""))</f>
        <v/>
      </c>
      <c r="AC82" s="16" t="str">
        <f aca="false">IF(P82&lt;&gt;"",VALUE(RIGHT(P82,1))*1000+ROW(),"")</f>
        <v/>
      </c>
      <c r="AD82" s="16" t="str">
        <f aca="false">IF(ISNUMBER(L82),MIN(L82,K82),"")</f>
        <v/>
      </c>
      <c r="AE82" s="16" t="str">
        <f aca="false">IF(AND(ISNUMBER(SEARCH(" PA "," "&amp;SUBSTITUTE($I82,","," ")&amp;" ")),ISNUMBER($L82)),$L82,"")</f>
        <v/>
      </c>
      <c r="AF82" s="16" t="str">
        <f aca="false">IF(AND(ISNUMBER(SEARCH(" PO "," "&amp;SUBSTITUTE($I82,","," ")&amp;" ")),ISNUMBER($L82)),$L82,"")</f>
        <v/>
      </c>
      <c r="AG82" s="16" t="str">
        <f aca="false">IF(AND(ISNUMBER(SEARCH(" MFA "," "&amp;SUBSTITUTE($I82,","," ")&amp;" ")),ISNUMBER($L82)),$L82,"")</f>
        <v/>
      </c>
      <c r="AH82" s="16" t="str">
        <f aca="false">IF(AND(ISNUMBER(SEARCH(" RAP "," "&amp;SUBSTITUTE($I82,","," ")&amp;" ")),ISNUMBER($L82)),$L82,"")</f>
        <v/>
      </c>
      <c r="AI82" s="16" t="str">
        <f aca="false">IF(AND(ISNUMBER(SEARCH(" AC "," "&amp;SUBSTITUTE($I82,","," ")&amp;" ")),ISNUMBER($L82)),$L82,"")</f>
        <v/>
      </c>
      <c r="AJ82" s="16" t="str">
        <f aca="false">IF(AND(ISNUMBER(SEARCH(" MAC "," "&amp;SUBSTITUTE($I82,","," ")&amp;" ")),ISNUMBER($L82)),$L82,"")</f>
        <v/>
      </c>
      <c r="AK82" s="16" t="str">
        <f aca="false">IF(AND(ISNUMBER(SEARCH(" UAH "," "&amp;SUBSTITUTE($I82,","," ")&amp;" ")),ISNUMBER($L82)),$L82,"")</f>
        <v/>
      </c>
      <c r="AL82" s="16" t="str">
        <f aca="false">IF(AND(ISNUMBER(SEARCH(" RB "," "&amp;SUBSTITUTE($I82,","," ")&amp;" ")),ISNUMBER($L82)),$L82,"")</f>
        <v/>
      </c>
    </row>
    <row r="83" customFormat="false" ht="55.5" hidden="false" customHeight="true" outlineLevel="0" collapsed="false">
      <c r="A83" s="4" t="s">
        <v>661</v>
      </c>
      <c r="B83" s="5" t="s">
        <v>662</v>
      </c>
      <c r="C83" s="5" t="s">
        <v>663</v>
      </c>
      <c r="D83" s="5" t="s">
        <v>664</v>
      </c>
      <c r="E83" s="5" t="s">
        <v>665</v>
      </c>
      <c r="F83" s="5" t="s">
        <v>666</v>
      </c>
      <c r="G83" s="5" t="s">
        <v>667</v>
      </c>
      <c r="H83" s="5" t="s">
        <v>668</v>
      </c>
      <c r="I83" s="13"/>
      <c r="J83" s="13" t="s">
        <v>46</v>
      </c>
      <c r="K83" s="9" t="n">
        <v>2</v>
      </c>
      <c r="L83" s="9"/>
      <c r="M83" s="13" t="str">
        <f aca="false">IF(ISNUMBER(L83),IF(L83&lt;K83,"Gap","OK"),IF(L83="N/A","N/A",""))</f>
        <v/>
      </c>
      <c r="N83" s="9"/>
      <c r="O83" s="9"/>
      <c r="P83" s="13" t="str">
        <f aca="false">IF(AND(M83="Gap",N83&lt;&gt;"",O83&lt;&gt;""),VLOOKUP(N83&amp;O83,Lists!$H$4:$I$12,2,FALSE()),"")</f>
        <v/>
      </c>
      <c r="Q83" s="13" t="str">
        <f aca="false">IF(AND(M83="Gap",O83="S",OR(N83="H",N83="M")),"Yes","")</f>
        <v/>
      </c>
      <c r="R83" s="9" t="s">
        <v>46</v>
      </c>
      <c r="S83" s="14" t="str">
        <f aca="false">IF(A83="","",IFERROR(IF(OR(VLOOKUP(A83,AutoEvidence!$A$2:$G$400,2,FALSE())="Collected",VLOOKUP(A83,AutoEvidence!$A$2:$G$400,2,FALSE())="Partial"),VLOOKUP(A83,AutoEvidence!$A$2:$G$400,3,FALSE())&amp;" ("&amp;VLOOKUP(A83,AutoEvidence!$A$2:$G$400,2,FALSE())&amp;")",VLOOKUP(A83,AutoEvidence!$A$2:$G$400,2,FALSE())),""))</f>
        <v/>
      </c>
      <c r="T83" s="7" t="str">
        <f aca="false">IF(A83="","",IFERROR(VLOOKUP(A83,AutoEvidence!$A$2:$G$400,4,FALSE())&amp;"",""))</f>
        <v/>
      </c>
      <c r="U83" s="6"/>
      <c r="V83" s="6"/>
      <c r="W83" s="9"/>
      <c r="X83" s="6"/>
      <c r="Y83" s="6"/>
      <c r="Z83" s="9"/>
      <c r="AA83" s="15"/>
      <c r="AB83" s="13" t="str">
        <f aca="false">IF(M83="Gap",1,IF(M83="OK",0,""))</f>
        <v/>
      </c>
      <c r="AC83" s="16" t="str">
        <f aca="false">IF(P83&lt;&gt;"",VALUE(RIGHT(P83,1))*1000+ROW(),"")</f>
        <v/>
      </c>
      <c r="AD83" s="16" t="str">
        <f aca="false">IF(ISNUMBER(L83),MIN(L83,K83),"")</f>
        <v/>
      </c>
      <c r="AE83" s="16" t="str">
        <f aca="false">IF(AND(ISNUMBER(SEARCH(" PA "," "&amp;SUBSTITUTE($I83,","," ")&amp;" ")),ISNUMBER($L83)),$L83,"")</f>
        <v/>
      </c>
      <c r="AF83" s="16" t="str">
        <f aca="false">IF(AND(ISNUMBER(SEARCH(" PO "," "&amp;SUBSTITUTE($I83,","," ")&amp;" ")),ISNUMBER($L83)),$L83,"")</f>
        <v/>
      </c>
      <c r="AG83" s="16" t="str">
        <f aca="false">IF(AND(ISNUMBER(SEARCH(" MFA "," "&amp;SUBSTITUTE($I83,","," ")&amp;" ")),ISNUMBER($L83)),$L83,"")</f>
        <v/>
      </c>
      <c r="AH83" s="16" t="str">
        <f aca="false">IF(AND(ISNUMBER(SEARCH(" RAP "," "&amp;SUBSTITUTE($I83,","," ")&amp;" ")),ISNUMBER($L83)),$L83,"")</f>
        <v/>
      </c>
      <c r="AI83" s="16" t="str">
        <f aca="false">IF(AND(ISNUMBER(SEARCH(" AC "," "&amp;SUBSTITUTE($I83,","," ")&amp;" ")),ISNUMBER($L83)),$L83,"")</f>
        <v/>
      </c>
      <c r="AJ83" s="16" t="str">
        <f aca="false">IF(AND(ISNUMBER(SEARCH(" MAC "," "&amp;SUBSTITUTE($I83,","," ")&amp;" ")),ISNUMBER($L83)),$L83,"")</f>
        <v/>
      </c>
      <c r="AK83" s="16" t="str">
        <f aca="false">IF(AND(ISNUMBER(SEARCH(" UAH "," "&amp;SUBSTITUTE($I83,","," ")&amp;" ")),ISNUMBER($L83)),$L83,"")</f>
        <v/>
      </c>
      <c r="AL83" s="16" t="str">
        <f aca="false">IF(AND(ISNUMBER(SEARCH(" RB "," "&amp;SUBSTITUTE($I83,","," ")&amp;" ")),ISNUMBER($L83)),$L83,"")</f>
        <v/>
      </c>
    </row>
    <row r="84" customFormat="false" ht="55.5" hidden="false" customHeight="true" outlineLevel="0" collapsed="false">
      <c r="A84" s="4" t="s">
        <v>669</v>
      </c>
      <c r="B84" s="5" t="s">
        <v>662</v>
      </c>
      <c r="C84" s="5" t="s">
        <v>663</v>
      </c>
      <c r="D84" s="5" t="s">
        <v>670</v>
      </c>
      <c r="E84" s="5" t="s">
        <v>671</v>
      </c>
      <c r="F84" s="5" t="s">
        <v>672</v>
      </c>
      <c r="G84" s="5" t="s">
        <v>673</v>
      </c>
      <c r="H84" s="5" t="s">
        <v>674</v>
      </c>
      <c r="I84" s="13"/>
      <c r="J84" s="13" t="s">
        <v>46</v>
      </c>
      <c r="K84" s="9" t="n">
        <v>2</v>
      </c>
      <c r="L84" s="9"/>
      <c r="M84" s="13" t="str">
        <f aca="false">IF(ISNUMBER(L84),IF(L84&lt;K84,"Gap","OK"),IF(L84="N/A","N/A",""))</f>
        <v/>
      </c>
      <c r="N84" s="9"/>
      <c r="O84" s="9"/>
      <c r="P84" s="13" t="str">
        <f aca="false">IF(AND(M84="Gap",N84&lt;&gt;"",O84&lt;&gt;""),VLOOKUP(N84&amp;O84,Lists!$H$4:$I$12,2,FALSE()),"")</f>
        <v/>
      </c>
      <c r="Q84" s="13" t="str">
        <f aca="false">IF(AND(M84="Gap",O84="S",OR(N84="H",N84="M")),"Yes","")</f>
        <v/>
      </c>
      <c r="R84" s="9" t="s">
        <v>46</v>
      </c>
      <c r="S84" s="14" t="str">
        <f aca="false">IF(A84="","",IFERROR(IF(OR(VLOOKUP(A84,AutoEvidence!$A$2:$G$400,2,FALSE())="Collected",VLOOKUP(A84,AutoEvidence!$A$2:$G$400,2,FALSE())="Partial"),VLOOKUP(A84,AutoEvidence!$A$2:$G$400,3,FALSE())&amp;" ("&amp;VLOOKUP(A84,AutoEvidence!$A$2:$G$400,2,FALSE())&amp;")",VLOOKUP(A84,AutoEvidence!$A$2:$G$400,2,FALSE())),""))</f>
        <v/>
      </c>
      <c r="T84" s="7" t="str">
        <f aca="false">IF(A84="","",IFERROR(VLOOKUP(A84,AutoEvidence!$A$2:$G$400,4,FALSE())&amp;"",""))</f>
        <v/>
      </c>
      <c r="U84" s="6"/>
      <c r="V84" s="6"/>
      <c r="W84" s="9"/>
      <c r="X84" s="6"/>
      <c r="Y84" s="6"/>
      <c r="Z84" s="9"/>
      <c r="AA84" s="15"/>
      <c r="AB84" s="13" t="str">
        <f aca="false">IF(M84="Gap",1,IF(M84="OK",0,""))</f>
        <v/>
      </c>
      <c r="AC84" s="16" t="str">
        <f aca="false">IF(P84&lt;&gt;"",VALUE(RIGHT(P84,1))*1000+ROW(),"")</f>
        <v/>
      </c>
      <c r="AD84" s="16" t="str">
        <f aca="false">IF(ISNUMBER(L84),MIN(L84,K84),"")</f>
        <v/>
      </c>
      <c r="AE84" s="16" t="str">
        <f aca="false">IF(AND(ISNUMBER(SEARCH(" PA "," "&amp;SUBSTITUTE($I84,","," ")&amp;" ")),ISNUMBER($L84)),$L84,"")</f>
        <v/>
      </c>
      <c r="AF84" s="16" t="str">
        <f aca="false">IF(AND(ISNUMBER(SEARCH(" PO "," "&amp;SUBSTITUTE($I84,","," ")&amp;" ")),ISNUMBER($L84)),$L84,"")</f>
        <v/>
      </c>
      <c r="AG84" s="16" t="str">
        <f aca="false">IF(AND(ISNUMBER(SEARCH(" MFA "," "&amp;SUBSTITUTE($I84,","," ")&amp;" ")),ISNUMBER($L84)),$L84,"")</f>
        <v/>
      </c>
      <c r="AH84" s="16" t="str">
        <f aca="false">IF(AND(ISNUMBER(SEARCH(" RAP "," "&amp;SUBSTITUTE($I84,","," ")&amp;" ")),ISNUMBER($L84)),$L84,"")</f>
        <v/>
      </c>
      <c r="AI84" s="16" t="str">
        <f aca="false">IF(AND(ISNUMBER(SEARCH(" AC "," "&amp;SUBSTITUTE($I84,","," ")&amp;" ")),ISNUMBER($L84)),$L84,"")</f>
        <v/>
      </c>
      <c r="AJ84" s="16" t="str">
        <f aca="false">IF(AND(ISNUMBER(SEARCH(" MAC "," "&amp;SUBSTITUTE($I84,","," ")&amp;" ")),ISNUMBER($L84)),$L84,"")</f>
        <v/>
      </c>
      <c r="AK84" s="16" t="str">
        <f aca="false">IF(AND(ISNUMBER(SEARCH(" UAH "," "&amp;SUBSTITUTE($I84,","," ")&amp;" ")),ISNUMBER($L84)),$L84,"")</f>
        <v/>
      </c>
      <c r="AL84" s="16" t="str">
        <f aca="false">IF(AND(ISNUMBER(SEARCH(" RB "," "&amp;SUBSTITUTE($I84,","," ")&amp;" ")),ISNUMBER($L84)),$L84,"")</f>
        <v/>
      </c>
    </row>
    <row r="85" customFormat="false" ht="55.5" hidden="false" customHeight="true" outlineLevel="0" collapsed="false">
      <c r="A85" s="4" t="s">
        <v>675</v>
      </c>
      <c r="B85" s="5" t="s">
        <v>662</v>
      </c>
      <c r="C85" s="5" t="s">
        <v>663</v>
      </c>
      <c r="D85" s="5" t="s">
        <v>676</v>
      </c>
      <c r="E85" s="5" t="s">
        <v>677</v>
      </c>
      <c r="F85" s="5" t="s">
        <v>678</v>
      </c>
      <c r="G85" s="5" t="s">
        <v>679</v>
      </c>
      <c r="H85" s="5" t="s">
        <v>680</v>
      </c>
      <c r="I85" s="13"/>
      <c r="J85" s="13" t="s">
        <v>50</v>
      </c>
      <c r="K85" s="9" t="n">
        <v>2</v>
      </c>
      <c r="L85" s="9"/>
      <c r="M85" s="13" t="str">
        <f aca="false">IF(ISNUMBER(L85),IF(L85&lt;K85,"Gap","OK"),IF(L85="N/A","N/A",""))</f>
        <v/>
      </c>
      <c r="N85" s="9"/>
      <c r="O85" s="9"/>
      <c r="P85" s="13" t="str">
        <f aca="false">IF(AND(M85="Gap",N85&lt;&gt;"",O85&lt;&gt;""),VLOOKUP(N85&amp;O85,Lists!$H$4:$I$12,2,FALSE()),"")</f>
        <v/>
      </c>
      <c r="Q85" s="13" t="str">
        <f aca="false">IF(AND(M85="Gap",O85="S",OR(N85="H",N85="M")),"Yes","")</f>
        <v/>
      </c>
      <c r="R85" s="9" t="s">
        <v>50</v>
      </c>
      <c r="S85" s="14" t="str">
        <f aca="false">IF(A85="","",IFERROR(IF(OR(VLOOKUP(A85,AutoEvidence!$A$2:$G$400,2,FALSE())="Collected",VLOOKUP(A85,AutoEvidence!$A$2:$G$400,2,FALSE())="Partial"),VLOOKUP(A85,AutoEvidence!$A$2:$G$400,3,FALSE())&amp;" ("&amp;VLOOKUP(A85,AutoEvidence!$A$2:$G$400,2,FALSE())&amp;")",VLOOKUP(A85,AutoEvidence!$A$2:$G$400,2,FALSE())),""))</f>
        <v/>
      </c>
      <c r="T85" s="7" t="str">
        <f aca="false">IF(A85="","",IFERROR(VLOOKUP(A85,AutoEvidence!$A$2:$G$400,4,FALSE())&amp;"",""))</f>
        <v/>
      </c>
      <c r="U85" s="6"/>
      <c r="V85" s="6"/>
      <c r="W85" s="9"/>
      <c r="X85" s="6"/>
      <c r="Y85" s="6"/>
      <c r="Z85" s="9"/>
      <c r="AA85" s="15"/>
      <c r="AB85" s="13" t="str">
        <f aca="false">IF(M85="Gap",1,IF(M85="OK",0,""))</f>
        <v/>
      </c>
      <c r="AC85" s="16" t="str">
        <f aca="false">IF(P85&lt;&gt;"",VALUE(RIGHT(P85,1))*1000+ROW(),"")</f>
        <v/>
      </c>
      <c r="AD85" s="16" t="str">
        <f aca="false">IF(ISNUMBER(L85),MIN(L85,K85),"")</f>
        <v/>
      </c>
      <c r="AE85" s="16" t="str">
        <f aca="false">IF(AND(ISNUMBER(SEARCH(" PA "," "&amp;SUBSTITUTE($I85,","," ")&amp;" ")),ISNUMBER($L85)),$L85,"")</f>
        <v/>
      </c>
      <c r="AF85" s="16" t="str">
        <f aca="false">IF(AND(ISNUMBER(SEARCH(" PO "," "&amp;SUBSTITUTE($I85,","," ")&amp;" ")),ISNUMBER($L85)),$L85,"")</f>
        <v/>
      </c>
      <c r="AG85" s="16" t="str">
        <f aca="false">IF(AND(ISNUMBER(SEARCH(" MFA "," "&amp;SUBSTITUTE($I85,","," ")&amp;" ")),ISNUMBER($L85)),$L85,"")</f>
        <v/>
      </c>
      <c r="AH85" s="16" t="str">
        <f aca="false">IF(AND(ISNUMBER(SEARCH(" RAP "," "&amp;SUBSTITUTE($I85,","," ")&amp;" ")),ISNUMBER($L85)),$L85,"")</f>
        <v/>
      </c>
      <c r="AI85" s="16" t="str">
        <f aca="false">IF(AND(ISNUMBER(SEARCH(" AC "," "&amp;SUBSTITUTE($I85,","," ")&amp;" ")),ISNUMBER($L85)),$L85,"")</f>
        <v/>
      </c>
      <c r="AJ85" s="16" t="str">
        <f aca="false">IF(AND(ISNUMBER(SEARCH(" MAC "," "&amp;SUBSTITUTE($I85,","," ")&amp;" ")),ISNUMBER($L85)),$L85,"")</f>
        <v/>
      </c>
      <c r="AK85" s="16" t="str">
        <f aca="false">IF(AND(ISNUMBER(SEARCH(" UAH "," "&amp;SUBSTITUTE($I85,","," ")&amp;" ")),ISNUMBER($L85)),$L85,"")</f>
        <v/>
      </c>
      <c r="AL85" s="16" t="str">
        <f aca="false">IF(AND(ISNUMBER(SEARCH(" RB "," "&amp;SUBSTITUTE($I85,","," ")&amp;" ")),ISNUMBER($L85)),$L85,"")</f>
        <v/>
      </c>
    </row>
    <row r="86" customFormat="false" ht="55.5" hidden="false" customHeight="true" outlineLevel="0" collapsed="false">
      <c r="A86" s="4" t="s">
        <v>681</v>
      </c>
      <c r="B86" s="5" t="s">
        <v>662</v>
      </c>
      <c r="C86" s="5" t="s">
        <v>663</v>
      </c>
      <c r="D86" s="5" t="s">
        <v>682</v>
      </c>
      <c r="E86" s="5" t="s">
        <v>683</v>
      </c>
      <c r="F86" s="5" t="s">
        <v>684</v>
      </c>
      <c r="G86" s="5" t="s">
        <v>685</v>
      </c>
      <c r="H86" s="5" t="s">
        <v>686</v>
      </c>
      <c r="I86" s="13" t="s">
        <v>687</v>
      </c>
      <c r="J86" s="13" t="s">
        <v>46</v>
      </c>
      <c r="K86" s="9" t="n">
        <v>2</v>
      </c>
      <c r="L86" s="9"/>
      <c r="M86" s="13" t="str">
        <f aca="false">IF(ISNUMBER(L86),IF(L86&lt;K86,"Gap","OK"),IF(L86="N/A","N/A",""))</f>
        <v/>
      </c>
      <c r="N86" s="9"/>
      <c r="O86" s="9"/>
      <c r="P86" s="13" t="str">
        <f aca="false">IF(AND(M86="Gap",N86&lt;&gt;"",O86&lt;&gt;""),VLOOKUP(N86&amp;O86,Lists!$H$4:$I$12,2,FALSE()),"")</f>
        <v/>
      </c>
      <c r="Q86" s="13" t="str">
        <f aca="false">IF(AND(M86="Gap",O86="S",OR(N86="H",N86="M")),"Yes","")</f>
        <v/>
      </c>
      <c r="R86" s="9" t="s">
        <v>46</v>
      </c>
      <c r="S86" s="14" t="str">
        <f aca="false">IF(A86="","",IFERROR(IF(OR(VLOOKUP(A86,AutoEvidence!$A$2:$G$400,2,FALSE())="Collected",VLOOKUP(A86,AutoEvidence!$A$2:$G$400,2,FALSE())="Partial"),VLOOKUP(A86,AutoEvidence!$A$2:$G$400,3,FALSE())&amp;" ("&amp;VLOOKUP(A86,AutoEvidence!$A$2:$G$400,2,FALSE())&amp;")",VLOOKUP(A86,AutoEvidence!$A$2:$G$400,2,FALSE())),""))</f>
        <v/>
      </c>
      <c r="T86" s="7" t="str">
        <f aca="false">IF(A86="","",IFERROR(VLOOKUP(A86,AutoEvidence!$A$2:$G$400,4,FALSE())&amp;"",""))</f>
        <v/>
      </c>
      <c r="U86" s="6"/>
      <c r="V86" s="6"/>
      <c r="W86" s="9"/>
      <c r="X86" s="6"/>
      <c r="Y86" s="6"/>
      <c r="Z86" s="9"/>
      <c r="AA86" s="15"/>
      <c r="AB86" s="13" t="str">
        <f aca="false">IF(M86="Gap",1,IF(M86="OK",0,""))</f>
        <v/>
      </c>
      <c r="AC86" s="16" t="str">
        <f aca="false">IF(P86&lt;&gt;"",VALUE(RIGHT(P86,1))*1000+ROW(),"")</f>
        <v/>
      </c>
      <c r="AD86" s="16" t="str">
        <f aca="false">IF(ISNUMBER(L86),MIN(L86,K86),"")</f>
        <v/>
      </c>
      <c r="AE86" s="16" t="str">
        <f aca="false">IF(AND(ISNUMBER(SEARCH(" PA "," "&amp;SUBSTITUTE($I86,","," ")&amp;" ")),ISNUMBER($L86)),$L86,"")</f>
        <v/>
      </c>
      <c r="AF86" s="16" t="str">
        <f aca="false">IF(AND(ISNUMBER(SEARCH(" PO "," "&amp;SUBSTITUTE($I86,","," ")&amp;" ")),ISNUMBER($L86)),$L86,"")</f>
        <v/>
      </c>
      <c r="AG86" s="16" t="str">
        <f aca="false">IF(AND(ISNUMBER(SEARCH(" MFA "," "&amp;SUBSTITUTE($I86,","," ")&amp;" ")),ISNUMBER($L86)),$L86,"")</f>
        <v/>
      </c>
      <c r="AH86" s="16" t="str">
        <f aca="false">IF(AND(ISNUMBER(SEARCH(" RAP "," "&amp;SUBSTITUTE($I86,","," ")&amp;" ")),ISNUMBER($L86)),$L86,"")</f>
        <v/>
      </c>
      <c r="AI86" s="16" t="str">
        <f aca="false">IF(AND(ISNUMBER(SEARCH(" AC "," "&amp;SUBSTITUTE($I86,","," ")&amp;" ")),ISNUMBER($L86)),$L86,"")</f>
        <v/>
      </c>
      <c r="AJ86" s="16" t="str">
        <f aca="false">IF(AND(ISNUMBER(SEARCH(" MAC "," "&amp;SUBSTITUTE($I86,","," ")&amp;" ")),ISNUMBER($L86)),$L86,"")</f>
        <v/>
      </c>
      <c r="AK86" s="16" t="str">
        <f aca="false">IF(AND(ISNUMBER(SEARCH(" UAH "," "&amp;SUBSTITUTE($I86,","," ")&amp;" ")),ISNUMBER($L86)),$L86,"")</f>
        <v/>
      </c>
      <c r="AL86" s="16" t="str">
        <f aca="false">IF(AND(ISNUMBER(SEARCH(" RB "," "&amp;SUBSTITUTE($I86,","," ")&amp;" ")),ISNUMBER($L86)),$L86,"")</f>
        <v/>
      </c>
    </row>
    <row r="87" customFormat="false" ht="55.5" hidden="false" customHeight="true" outlineLevel="0" collapsed="false">
      <c r="A87" s="4" t="s">
        <v>688</v>
      </c>
      <c r="B87" s="5" t="s">
        <v>662</v>
      </c>
      <c r="C87" s="5" t="s">
        <v>663</v>
      </c>
      <c r="D87" s="5" t="s">
        <v>689</v>
      </c>
      <c r="E87" s="5" t="s">
        <v>690</v>
      </c>
      <c r="F87" s="5" t="s">
        <v>691</v>
      </c>
      <c r="G87" s="5" t="s">
        <v>692</v>
      </c>
      <c r="H87" s="5" t="s">
        <v>693</v>
      </c>
      <c r="I87" s="13"/>
      <c r="J87" s="13" t="s">
        <v>46</v>
      </c>
      <c r="K87" s="9" t="n">
        <v>2</v>
      </c>
      <c r="L87" s="9"/>
      <c r="M87" s="13" t="str">
        <f aca="false">IF(ISNUMBER(L87),IF(L87&lt;K87,"Gap","OK"),IF(L87="N/A","N/A",""))</f>
        <v/>
      </c>
      <c r="N87" s="9"/>
      <c r="O87" s="9"/>
      <c r="P87" s="13" t="str">
        <f aca="false">IF(AND(M87="Gap",N87&lt;&gt;"",O87&lt;&gt;""),VLOOKUP(N87&amp;O87,Lists!$H$4:$I$12,2,FALSE()),"")</f>
        <v/>
      </c>
      <c r="Q87" s="13" t="str">
        <f aca="false">IF(AND(M87="Gap",O87="S",OR(N87="H",N87="M")),"Yes","")</f>
        <v/>
      </c>
      <c r="R87" s="9" t="s">
        <v>46</v>
      </c>
      <c r="S87" s="14" t="str">
        <f aca="false">IF(A87="","",IFERROR(IF(OR(VLOOKUP(A87,AutoEvidence!$A$2:$G$400,2,FALSE())="Collected",VLOOKUP(A87,AutoEvidence!$A$2:$G$400,2,FALSE())="Partial"),VLOOKUP(A87,AutoEvidence!$A$2:$G$400,3,FALSE())&amp;" ("&amp;VLOOKUP(A87,AutoEvidence!$A$2:$G$400,2,FALSE())&amp;")",VLOOKUP(A87,AutoEvidence!$A$2:$G$400,2,FALSE())),""))</f>
        <v/>
      </c>
      <c r="T87" s="7" t="str">
        <f aca="false">IF(A87="","",IFERROR(VLOOKUP(A87,AutoEvidence!$A$2:$G$400,4,FALSE())&amp;"",""))</f>
        <v/>
      </c>
      <c r="U87" s="6"/>
      <c r="V87" s="6"/>
      <c r="W87" s="9"/>
      <c r="X87" s="6"/>
      <c r="Y87" s="6"/>
      <c r="Z87" s="9"/>
      <c r="AA87" s="15"/>
      <c r="AB87" s="13" t="str">
        <f aca="false">IF(M87="Gap",1,IF(M87="OK",0,""))</f>
        <v/>
      </c>
      <c r="AC87" s="16" t="str">
        <f aca="false">IF(P87&lt;&gt;"",VALUE(RIGHT(P87,1))*1000+ROW(),"")</f>
        <v/>
      </c>
      <c r="AD87" s="16" t="str">
        <f aca="false">IF(ISNUMBER(L87),MIN(L87,K87),"")</f>
        <v/>
      </c>
      <c r="AE87" s="16" t="str">
        <f aca="false">IF(AND(ISNUMBER(SEARCH(" PA "," "&amp;SUBSTITUTE($I87,","," ")&amp;" ")),ISNUMBER($L87)),$L87,"")</f>
        <v/>
      </c>
      <c r="AF87" s="16" t="str">
        <f aca="false">IF(AND(ISNUMBER(SEARCH(" PO "," "&amp;SUBSTITUTE($I87,","," ")&amp;" ")),ISNUMBER($L87)),$L87,"")</f>
        <v/>
      </c>
      <c r="AG87" s="16" t="str">
        <f aca="false">IF(AND(ISNUMBER(SEARCH(" MFA "," "&amp;SUBSTITUTE($I87,","," ")&amp;" ")),ISNUMBER($L87)),$L87,"")</f>
        <v/>
      </c>
      <c r="AH87" s="16" t="str">
        <f aca="false">IF(AND(ISNUMBER(SEARCH(" RAP "," "&amp;SUBSTITUTE($I87,","," ")&amp;" ")),ISNUMBER($L87)),$L87,"")</f>
        <v/>
      </c>
      <c r="AI87" s="16" t="str">
        <f aca="false">IF(AND(ISNUMBER(SEARCH(" AC "," "&amp;SUBSTITUTE($I87,","," ")&amp;" ")),ISNUMBER($L87)),$L87,"")</f>
        <v/>
      </c>
      <c r="AJ87" s="16" t="str">
        <f aca="false">IF(AND(ISNUMBER(SEARCH(" MAC "," "&amp;SUBSTITUTE($I87,","," ")&amp;" ")),ISNUMBER($L87)),$L87,"")</f>
        <v/>
      </c>
      <c r="AK87" s="16" t="str">
        <f aca="false">IF(AND(ISNUMBER(SEARCH(" UAH "," "&amp;SUBSTITUTE($I87,","," ")&amp;" ")),ISNUMBER($L87)),$L87,"")</f>
        <v/>
      </c>
      <c r="AL87" s="16" t="str">
        <f aca="false">IF(AND(ISNUMBER(SEARCH(" RB "," "&amp;SUBSTITUTE($I87,","," ")&amp;" ")),ISNUMBER($L87)),$L87,"")</f>
        <v/>
      </c>
    </row>
    <row r="88" customFormat="false" ht="55.5" hidden="false" customHeight="true" outlineLevel="0" collapsed="false">
      <c r="A88" s="4" t="s">
        <v>694</v>
      </c>
      <c r="B88" s="5" t="s">
        <v>662</v>
      </c>
      <c r="C88" s="5" t="s">
        <v>663</v>
      </c>
      <c r="D88" s="5" t="s">
        <v>695</v>
      </c>
      <c r="E88" s="5" t="s">
        <v>696</v>
      </c>
      <c r="F88" s="5" t="s">
        <v>697</v>
      </c>
      <c r="G88" s="5" t="s">
        <v>698</v>
      </c>
      <c r="H88" s="5" t="s">
        <v>699</v>
      </c>
      <c r="I88" s="13"/>
      <c r="J88" s="13" t="s">
        <v>46</v>
      </c>
      <c r="K88" s="9" t="n">
        <v>2</v>
      </c>
      <c r="L88" s="9"/>
      <c r="M88" s="13" t="str">
        <f aca="false">IF(ISNUMBER(L88),IF(L88&lt;K88,"Gap","OK"),IF(L88="N/A","N/A",""))</f>
        <v/>
      </c>
      <c r="N88" s="9"/>
      <c r="O88" s="9"/>
      <c r="P88" s="13" t="str">
        <f aca="false">IF(AND(M88="Gap",N88&lt;&gt;"",O88&lt;&gt;""),VLOOKUP(N88&amp;O88,Lists!$H$4:$I$12,2,FALSE()),"")</f>
        <v/>
      </c>
      <c r="Q88" s="13" t="str">
        <f aca="false">IF(AND(M88="Gap",O88="S",OR(N88="H",N88="M")),"Yes","")</f>
        <v/>
      </c>
      <c r="R88" s="9" t="s">
        <v>46</v>
      </c>
      <c r="S88" s="14" t="str">
        <f aca="false">IF(A88="","",IFERROR(IF(OR(VLOOKUP(A88,AutoEvidence!$A$2:$G$400,2,FALSE())="Collected",VLOOKUP(A88,AutoEvidence!$A$2:$G$400,2,FALSE())="Partial"),VLOOKUP(A88,AutoEvidence!$A$2:$G$400,3,FALSE())&amp;" ("&amp;VLOOKUP(A88,AutoEvidence!$A$2:$G$400,2,FALSE())&amp;")",VLOOKUP(A88,AutoEvidence!$A$2:$G$400,2,FALSE())),""))</f>
        <v/>
      </c>
      <c r="T88" s="7" t="str">
        <f aca="false">IF(A88="","",IFERROR(VLOOKUP(A88,AutoEvidence!$A$2:$G$400,4,FALSE())&amp;"",""))</f>
        <v/>
      </c>
      <c r="U88" s="6"/>
      <c r="V88" s="6"/>
      <c r="W88" s="9"/>
      <c r="X88" s="6"/>
      <c r="Y88" s="6"/>
      <c r="Z88" s="9"/>
      <c r="AA88" s="15"/>
      <c r="AB88" s="13" t="str">
        <f aca="false">IF(M88="Gap",1,IF(M88="OK",0,""))</f>
        <v/>
      </c>
      <c r="AC88" s="16" t="str">
        <f aca="false">IF(P88&lt;&gt;"",VALUE(RIGHT(P88,1))*1000+ROW(),"")</f>
        <v/>
      </c>
      <c r="AD88" s="16" t="str">
        <f aca="false">IF(ISNUMBER(L88),MIN(L88,K88),"")</f>
        <v/>
      </c>
      <c r="AE88" s="16" t="str">
        <f aca="false">IF(AND(ISNUMBER(SEARCH(" PA "," "&amp;SUBSTITUTE($I88,","," ")&amp;" ")),ISNUMBER($L88)),$L88,"")</f>
        <v/>
      </c>
      <c r="AF88" s="16" t="str">
        <f aca="false">IF(AND(ISNUMBER(SEARCH(" PO "," "&amp;SUBSTITUTE($I88,","," ")&amp;" ")),ISNUMBER($L88)),$L88,"")</f>
        <v/>
      </c>
      <c r="AG88" s="16" t="str">
        <f aca="false">IF(AND(ISNUMBER(SEARCH(" MFA "," "&amp;SUBSTITUTE($I88,","," ")&amp;" ")),ISNUMBER($L88)),$L88,"")</f>
        <v/>
      </c>
      <c r="AH88" s="16" t="str">
        <f aca="false">IF(AND(ISNUMBER(SEARCH(" RAP "," "&amp;SUBSTITUTE($I88,","," ")&amp;" ")),ISNUMBER($L88)),$L88,"")</f>
        <v/>
      </c>
      <c r="AI88" s="16" t="str">
        <f aca="false">IF(AND(ISNUMBER(SEARCH(" AC "," "&amp;SUBSTITUTE($I88,","," ")&amp;" ")),ISNUMBER($L88)),$L88,"")</f>
        <v/>
      </c>
      <c r="AJ88" s="16" t="str">
        <f aca="false">IF(AND(ISNUMBER(SEARCH(" MAC "," "&amp;SUBSTITUTE($I88,","," ")&amp;" ")),ISNUMBER($L88)),$L88,"")</f>
        <v/>
      </c>
      <c r="AK88" s="16" t="str">
        <f aca="false">IF(AND(ISNUMBER(SEARCH(" UAH "," "&amp;SUBSTITUTE($I88,","," ")&amp;" ")),ISNUMBER($L88)),$L88,"")</f>
        <v/>
      </c>
      <c r="AL88" s="16" t="str">
        <f aca="false">IF(AND(ISNUMBER(SEARCH(" RB "," "&amp;SUBSTITUTE($I88,","," ")&amp;" ")),ISNUMBER($L88)),$L88,"")</f>
        <v/>
      </c>
    </row>
    <row r="89" customFormat="false" ht="55.5" hidden="false" customHeight="true" outlineLevel="0" collapsed="false">
      <c r="A89" s="4" t="s">
        <v>700</v>
      </c>
      <c r="B89" s="5" t="s">
        <v>662</v>
      </c>
      <c r="C89" s="5" t="s">
        <v>663</v>
      </c>
      <c r="D89" s="5" t="s">
        <v>701</v>
      </c>
      <c r="E89" s="5" t="s">
        <v>702</v>
      </c>
      <c r="F89" s="5" t="s">
        <v>703</v>
      </c>
      <c r="G89" s="5" t="s">
        <v>704</v>
      </c>
      <c r="H89" s="5" t="s">
        <v>705</v>
      </c>
      <c r="I89" s="13"/>
      <c r="J89" s="13" t="s">
        <v>46</v>
      </c>
      <c r="K89" s="9" t="n">
        <v>2</v>
      </c>
      <c r="L89" s="9"/>
      <c r="M89" s="13" t="str">
        <f aca="false">IF(ISNUMBER(L89),IF(L89&lt;K89,"Gap","OK"),IF(L89="N/A","N/A",""))</f>
        <v/>
      </c>
      <c r="N89" s="9"/>
      <c r="O89" s="9"/>
      <c r="P89" s="13" t="str">
        <f aca="false">IF(AND(M89="Gap",N89&lt;&gt;"",O89&lt;&gt;""),VLOOKUP(N89&amp;O89,Lists!$H$4:$I$12,2,FALSE()),"")</f>
        <v/>
      </c>
      <c r="Q89" s="13" t="str">
        <f aca="false">IF(AND(M89="Gap",O89="S",OR(N89="H",N89="M")),"Yes","")</f>
        <v/>
      </c>
      <c r="R89" s="9" t="s">
        <v>46</v>
      </c>
      <c r="S89" s="14" t="str">
        <f aca="false">IF(A89="","",IFERROR(IF(OR(VLOOKUP(A89,AutoEvidence!$A$2:$G$400,2,FALSE())="Collected",VLOOKUP(A89,AutoEvidence!$A$2:$G$400,2,FALSE())="Partial"),VLOOKUP(A89,AutoEvidence!$A$2:$G$400,3,FALSE())&amp;" ("&amp;VLOOKUP(A89,AutoEvidence!$A$2:$G$400,2,FALSE())&amp;")",VLOOKUP(A89,AutoEvidence!$A$2:$G$400,2,FALSE())),""))</f>
        <v/>
      </c>
      <c r="T89" s="7" t="str">
        <f aca="false">IF(A89="","",IFERROR(VLOOKUP(A89,AutoEvidence!$A$2:$G$400,4,FALSE())&amp;"",""))</f>
        <v/>
      </c>
      <c r="U89" s="6"/>
      <c r="V89" s="6"/>
      <c r="W89" s="9"/>
      <c r="X89" s="6"/>
      <c r="Y89" s="6"/>
      <c r="Z89" s="9"/>
      <c r="AA89" s="15"/>
      <c r="AB89" s="13" t="str">
        <f aca="false">IF(M89="Gap",1,IF(M89="OK",0,""))</f>
        <v/>
      </c>
      <c r="AC89" s="16" t="str">
        <f aca="false">IF(P89&lt;&gt;"",VALUE(RIGHT(P89,1))*1000+ROW(),"")</f>
        <v/>
      </c>
      <c r="AD89" s="16" t="str">
        <f aca="false">IF(ISNUMBER(L89),MIN(L89,K89),"")</f>
        <v/>
      </c>
      <c r="AE89" s="16" t="str">
        <f aca="false">IF(AND(ISNUMBER(SEARCH(" PA "," "&amp;SUBSTITUTE($I89,","," ")&amp;" ")),ISNUMBER($L89)),$L89,"")</f>
        <v/>
      </c>
      <c r="AF89" s="16" t="str">
        <f aca="false">IF(AND(ISNUMBER(SEARCH(" PO "," "&amp;SUBSTITUTE($I89,","," ")&amp;" ")),ISNUMBER($L89)),$L89,"")</f>
        <v/>
      </c>
      <c r="AG89" s="16" t="str">
        <f aca="false">IF(AND(ISNUMBER(SEARCH(" MFA "," "&amp;SUBSTITUTE($I89,","," ")&amp;" ")),ISNUMBER($L89)),$L89,"")</f>
        <v/>
      </c>
      <c r="AH89" s="16" t="str">
        <f aca="false">IF(AND(ISNUMBER(SEARCH(" RAP "," "&amp;SUBSTITUTE($I89,","," ")&amp;" ")),ISNUMBER($L89)),$L89,"")</f>
        <v/>
      </c>
      <c r="AI89" s="16" t="str">
        <f aca="false">IF(AND(ISNUMBER(SEARCH(" AC "," "&amp;SUBSTITUTE($I89,","," ")&amp;" ")),ISNUMBER($L89)),$L89,"")</f>
        <v/>
      </c>
      <c r="AJ89" s="16" t="str">
        <f aca="false">IF(AND(ISNUMBER(SEARCH(" MAC "," "&amp;SUBSTITUTE($I89,","," ")&amp;" ")),ISNUMBER($L89)),$L89,"")</f>
        <v/>
      </c>
      <c r="AK89" s="16" t="str">
        <f aca="false">IF(AND(ISNUMBER(SEARCH(" UAH "," "&amp;SUBSTITUTE($I89,","," ")&amp;" ")),ISNUMBER($L89)),$L89,"")</f>
        <v/>
      </c>
      <c r="AL89" s="16" t="str">
        <f aca="false">IF(AND(ISNUMBER(SEARCH(" RB "," "&amp;SUBSTITUTE($I89,","," ")&amp;" ")),ISNUMBER($L89)),$L89,"")</f>
        <v/>
      </c>
    </row>
    <row r="90" customFormat="false" ht="55.5" hidden="false" customHeight="true" outlineLevel="0" collapsed="false">
      <c r="A90" s="4" t="s">
        <v>706</v>
      </c>
      <c r="B90" s="5" t="s">
        <v>662</v>
      </c>
      <c r="C90" s="5" t="s">
        <v>663</v>
      </c>
      <c r="D90" s="5" t="s">
        <v>707</v>
      </c>
      <c r="E90" s="5" t="s">
        <v>708</v>
      </c>
      <c r="F90" s="5" t="s">
        <v>709</v>
      </c>
      <c r="G90" s="5" t="s">
        <v>710</v>
      </c>
      <c r="H90" s="5" t="s">
        <v>711</v>
      </c>
      <c r="I90" s="13" t="s">
        <v>208</v>
      </c>
      <c r="J90" s="13" t="s">
        <v>46</v>
      </c>
      <c r="K90" s="9" t="n">
        <v>2</v>
      </c>
      <c r="L90" s="9"/>
      <c r="M90" s="13" t="str">
        <f aca="false">IF(ISNUMBER(L90),IF(L90&lt;K90,"Gap","OK"),IF(L90="N/A","N/A",""))</f>
        <v/>
      </c>
      <c r="N90" s="9"/>
      <c r="O90" s="9"/>
      <c r="P90" s="13" t="str">
        <f aca="false">IF(AND(M90="Gap",N90&lt;&gt;"",O90&lt;&gt;""),VLOOKUP(N90&amp;O90,Lists!$H$4:$I$12,2,FALSE()),"")</f>
        <v/>
      </c>
      <c r="Q90" s="13" t="str">
        <f aca="false">IF(AND(M90="Gap",O90="S",OR(N90="H",N90="M")),"Yes","")</f>
        <v/>
      </c>
      <c r="R90" s="9" t="s">
        <v>46</v>
      </c>
      <c r="S90" s="14" t="str">
        <f aca="false">IF(A90="","",IFERROR(IF(OR(VLOOKUP(A90,AutoEvidence!$A$2:$G$400,2,FALSE())="Collected",VLOOKUP(A90,AutoEvidence!$A$2:$G$400,2,FALSE())="Partial"),VLOOKUP(A90,AutoEvidence!$A$2:$G$400,3,FALSE())&amp;" ("&amp;VLOOKUP(A90,AutoEvidence!$A$2:$G$400,2,FALSE())&amp;")",VLOOKUP(A90,AutoEvidence!$A$2:$G$400,2,FALSE())),""))</f>
        <v/>
      </c>
      <c r="T90" s="7" t="str">
        <f aca="false">IF(A90="","",IFERROR(VLOOKUP(A90,AutoEvidence!$A$2:$G$400,4,FALSE())&amp;"",""))</f>
        <v/>
      </c>
      <c r="U90" s="6"/>
      <c r="V90" s="6"/>
      <c r="W90" s="9"/>
      <c r="X90" s="6"/>
      <c r="Y90" s="6"/>
      <c r="Z90" s="9"/>
      <c r="AA90" s="15"/>
      <c r="AB90" s="13" t="str">
        <f aca="false">IF(M90="Gap",1,IF(M90="OK",0,""))</f>
        <v/>
      </c>
      <c r="AC90" s="16" t="str">
        <f aca="false">IF(P90&lt;&gt;"",VALUE(RIGHT(P90,1))*1000+ROW(),"")</f>
        <v/>
      </c>
      <c r="AD90" s="16" t="str">
        <f aca="false">IF(ISNUMBER(L90),MIN(L90,K90),"")</f>
        <v/>
      </c>
      <c r="AE90" s="16" t="str">
        <f aca="false">IF(AND(ISNUMBER(SEARCH(" PA "," "&amp;SUBSTITUTE($I90,","," ")&amp;" ")),ISNUMBER($L90)),$L90,"")</f>
        <v/>
      </c>
      <c r="AF90" s="16" t="str">
        <f aca="false">IF(AND(ISNUMBER(SEARCH(" PO "," "&amp;SUBSTITUTE($I90,","," ")&amp;" ")),ISNUMBER($L90)),$L90,"")</f>
        <v/>
      </c>
      <c r="AG90" s="16" t="str">
        <f aca="false">IF(AND(ISNUMBER(SEARCH(" MFA "," "&amp;SUBSTITUTE($I90,","," ")&amp;" ")),ISNUMBER($L90)),$L90,"")</f>
        <v/>
      </c>
      <c r="AH90" s="16" t="str">
        <f aca="false">IF(AND(ISNUMBER(SEARCH(" RAP "," "&amp;SUBSTITUTE($I90,","," ")&amp;" ")),ISNUMBER($L90)),$L90,"")</f>
        <v/>
      </c>
      <c r="AI90" s="16" t="str">
        <f aca="false">IF(AND(ISNUMBER(SEARCH(" AC "," "&amp;SUBSTITUTE($I90,","," ")&amp;" ")),ISNUMBER($L90)),$L90,"")</f>
        <v/>
      </c>
      <c r="AJ90" s="16" t="str">
        <f aca="false">IF(AND(ISNUMBER(SEARCH(" MAC "," "&amp;SUBSTITUTE($I90,","," ")&amp;" ")),ISNUMBER($L90)),$L90,"")</f>
        <v/>
      </c>
      <c r="AK90" s="16" t="str">
        <f aca="false">IF(AND(ISNUMBER(SEARCH(" UAH "," "&amp;SUBSTITUTE($I90,","," ")&amp;" ")),ISNUMBER($L90)),$L90,"")</f>
        <v/>
      </c>
      <c r="AL90" s="16" t="str">
        <f aca="false">IF(AND(ISNUMBER(SEARCH(" RB "," "&amp;SUBSTITUTE($I90,","," ")&amp;" ")),ISNUMBER($L90)),$L90,"")</f>
        <v/>
      </c>
    </row>
    <row r="91" customFormat="false" ht="69" hidden="false" customHeight="true" outlineLevel="0" collapsed="false">
      <c r="A91" s="4" t="s">
        <v>712</v>
      </c>
      <c r="B91" s="5" t="s">
        <v>662</v>
      </c>
      <c r="C91" s="5" t="s">
        <v>663</v>
      </c>
      <c r="D91" s="5" t="s">
        <v>713</v>
      </c>
      <c r="E91" s="5" t="s">
        <v>714</v>
      </c>
      <c r="F91" s="5" t="s">
        <v>715</v>
      </c>
      <c r="G91" s="5" t="s">
        <v>716</v>
      </c>
      <c r="H91" s="5" t="s">
        <v>717</v>
      </c>
      <c r="I91" s="13"/>
      <c r="J91" s="13" t="s">
        <v>46</v>
      </c>
      <c r="K91" s="9" t="n">
        <v>2</v>
      </c>
      <c r="L91" s="9"/>
      <c r="M91" s="13" t="str">
        <f aca="false">IF(ISNUMBER(L91),IF(L91&lt;K91,"Gap","OK"),IF(L91="N/A","N/A",""))</f>
        <v/>
      </c>
      <c r="N91" s="9"/>
      <c r="O91" s="9"/>
      <c r="P91" s="13" t="str">
        <f aca="false">IF(AND(M91="Gap",N91&lt;&gt;"",O91&lt;&gt;""),VLOOKUP(N91&amp;O91,Lists!$H$4:$I$12,2,FALSE()),"")</f>
        <v/>
      </c>
      <c r="Q91" s="13" t="str">
        <f aca="false">IF(AND(M91="Gap",O91="S",OR(N91="H",N91="M")),"Yes","")</f>
        <v/>
      </c>
      <c r="R91" s="9" t="s">
        <v>46</v>
      </c>
      <c r="S91" s="14" t="str">
        <f aca="false">IF(A91="","",IFERROR(IF(OR(VLOOKUP(A91,AutoEvidence!$A$2:$G$400,2,FALSE())="Collected",VLOOKUP(A91,AutoEvidence!$A$2:$G$400,2,FALSE())="Partial"),VLOOKUP(A91,AutoEvidence!$A$2:$G$400,3,FALSE())&amp;" ("&amp;VLOOKUP(A91,AutoEvidence!$A$2:$G$400,2,FALSE())&amp;")",VLOOKUP(A91,AutoEvidence!$A$2:$G$400,2,FALSE())),""))</f>
        <v/>
      </c>
      <c r="T91" s="7" t="str">
        <f aca="false">IF(A91="","",IFERROR(VLOOKUP(A91,AutoEvidence!$A$2:$G$400,4,FALSE())&amp;"",""))</f>
        <v/>
      </c>
      <c r="U91" s="6"/>
      <c r="V91" s="6"/>
      <c r="W91" s="9"/>
      <c r="X91" s="6"/>
      <c r="Y91" s="6"/>
      <c r="Z91" s="9"/>
      <c r="AA91" s="15"/>
      <c r="AB91" s="13" t="str">
        <f aca="false">IF(M91="Gap",1,IF(M91="OK",0,""))</f>
        <v/>
      </c>
      <c r="AC91" s="16" t="str">
        <f aca="false">IF(P91&lt;&gt;"",VALUE(RIGHT(P91,1))*1000+ROW(),"")</f>
        <v/>
      </c>
      <c r="AD91" s="16" t="str">
        <f aca="false">IF(ISNUMBER(L91),MIN(L91,K91),"")</f>
        <v/>
      </c>
      <c r="AE91" s="16" t="str">
        <f aca="false">IF(AND(ISNUMBER(SEARCH(" PA "," "&amp;SUBSTITUTE($I91,","," ")&amp;" ")),ISNUMBER($L91)),$L91,"")</f>
        <v/>
      </c>
      <c r="AF91" s="16" t="str">
        <f aca="false">IF(AND(ISNUMBER(SEARCH(" PO "," "&amp;SUBSTITUTE($I91,","," ")&amp;" ")),ISNUMBER($L91)),$L91,"")</f>
        <v/>
      </c>
      <c r="AG91" s="16" t="str">
        <f aca="false">IF(AND(ISNUMBER(SEARCH(" MFA "," "&amp;SUBSTITUTE($I91,","," ")&amp;" ")),ISNUMBER($L91)),$L91,"")</f>
        <v/>
      </c>
      <c r="AH91" s="16" t="str">
        <f aca="false">IF(AND(ISNUMBER(SEARCH(" RAP "," "&amp;SUBSTITUTE($I91,","," ")&amp;" ")),ISNUMBER($L91)),$L91,"")</f>
        <v/>
      </c>
      <c r="AI91" s="16" t="str">
        <f aca="false">IF(AND(ISNUMBER(SEARCH(" AC "," "&amp;SUBSTITUTE($I91,","," ")&amp;" ")),ISNUMBER($L91)),$L91,"")</f>
        <v/>
      </c>
      <c r="AJ91" s="16" t="str">
        <f aca="false">IF(AND(ISNUMBER(SEARCH(" MAC "," "&amp;SUBSTITUTE($I91,","," ")&amp;" ")),ISNUMBER($L91)),$L91,"")</f>
        <v/>
      </c>
      <c r="AK91" s="16" t="str">
        <f aca="false">IF(AND(ISNUMBER(SEARCH(" UAH "," "&amp;SUBSTITUTE($I91,","," ")&amp;" ")),ISNUMBER($L91)),$L91,"")</f>
        <v/>
      </c>
      <c r="AL91" s="16" t="str">
        <f aca="false">IF(AND(ISNUMBER(SEARCH(" RB "," "&amp;SUBSTITUTE($I91,","," ")&amp;" ")),ISNUMBER($L91)),$L91,"")</f>
        <v/>
      </c>
    </row>
    <row r="92" customFormat="false" ht="55.5" hidden="false" customHeight="true" outlineLevel="0" collapsed="false">
      <c r="A92" s="4" t="s">
        <v>718</v>
      </c>
      <c r="B92" s="5" t="s">
        <v>662</v>
      </c>
      <c r="C92" s="5" t="s">
        <v>663</v>
      </c>
      <c r="D92" s="5" t="s">
        <v>719</v>
      </c>
      <c r="E92" s="5" t="s">
        <v>720</v>
      </c>
      <c r="F92" s="5" t="s">
        <v>721</v>
      </c>
      <c r="G92" s="5" t="s">
        <v>722</v>
      </c>
      <c r="H92" s="5" t="s">
        <v>723</v>
      </c>
      <c r="I92" s="13"/>
      <c r="J92" s="13" t="s">
        <v>46</v>
      </c>
      <c r="K92" s="9" t="n">
        <v>2</v>
      </c>
      <c r="L92" s="9"/>
      <c r="M92" s="13" t="str">
        <f aca="false">IF(ISNUMBER(L92),IF(L92&lt;K92,"Gap","OK"),IF(L92="N/A","N/A",""))</f>
        <v/>
      </c>
      <c r="N92" s="9"/>
      <c r="O92" s="9"/>
      <c r="P92" s="13" t="str">
        <f aca="false">IF(AND(M92="Gap",N92&lt;&gt;"",O92&lt;&gt;""),VLOOKUP(N92&amp;O92,Lists!$H$4:$I$12,2,FALSE()),"")</f>
        <v/>
      </c>
      <c r="Q92" s="13" t="str">
        <f aca="false">IF(AND(M92="Gap",O92="S",OR(N92="H",N92="M")),"Yes","")</f>
        <v/>
      </c>
      <c r="R92" s="9" t="s">
        <v>46</v>
      </c>
      <c r="S92" s="14" t="str">
        <f aca="false">IF(A92="","",IFERROR(IF(OR(VLOOKUP(A92,AutoEvidence!$A$2:$G$400,2,FALSE())="Collected",VLOOKUP(A92,AutoEvidence!$A$2:$G$400,2,FALSE())="Partial"),VLOOKUP(A92,AutoEvidence!$A$2:$G$400,3,FALSE())&amp;" ("&amp;VLOOKUP(A92,AutoEvidence!$A$2:$G$400,2,FALSE())&amp;")",VLOOKUP(A92,AutoEvidence!$A$2:$G$400,2,FALSE())),""))</f>
        <v/>
      </c>
      <c r="T92" s="7" t="str">
        <f aca="false">IF(A92="","",IFERROR(VLOOKUP(A92,AutoEvidence!$A$2:$G$400,4,FALSE())&amp;"",""))</f>
        <v/>
      </c>
      <c r="U92" s="6"/>
      <c r="V92" s="6"/>
      <c r="W92" s="9"/>
      <c r="X92" s="6"/>
      <c r="Y92" s="6"/>
      <c r="Z92" s="9"/>
      <c r="AA92" s="15"/>
      <c r="AB92" s="13" t="str">
        <f aca="false">IF(M92="Gap",1,IF(M92="OK",0,""))</f>
        <v/>
      </c>
      <c r="AC92" s="16" t="str">
        <f aca="false">IF(P92&lt;&gt;"",VALUE(RIGHT(P92,1))*1000+ROW(),"")</f>
        <v/>
      </c>
      <c r="AD92" s="16" t="str">
        <f aca="false">IF(ISNUMBER(L92),MIN(L92,K92),"")</f>
        <v/>
      </c>
      <c r="AE92" s="16" t="str">
        <f aca="false">IF(AND(ISNUMBER(SEARCH(" PA "," "&amp;SUBSTITUTE($I92,","," ")&amp;" ")),ISNUMBER($L92)),$L92,"")</f>
        <v/>
      </c>
      <c r="AF92" s="16" t="str">
        <f aca="false">IF(AND(ISNUMBER(SEARCH(" PO "," "&amp;SUBSTITUTE($I92,","," ")&amp;" ")),ISNUMBER($L92)),$L92,"")</f>
        <v/>
      </c>
      <c r="AG92" s="16" t="str">
        <f aca="false">IF(AND(ISNUMBER(SEARCH(" MFA "," "&amp;SUBSTITUTE($I92,","," ")&amp;" ")),ISNUMBER($L92)),$L92,"")</f>
        <v/>
      </c>
      <c r="AH92" s="16" t="str">
        <f aca="false">IF(AND(ISNUMBER(SEARCH(" RAP "," "&amp;SUBSTITUTE($I92,","," ")&amp;" ")),ISNUMBER($L92)),$L92,"")</f>
        <v/>
      </c>
      <c r="AI92" s="16" t="str">
        <f aca="false">IF(AND(ISNUMBER(SEARCH(" AC "," "&amp;SUBSTITUTE($I92,","," ")&amp;" ")),ISNUMBER($L92)),$L92,"")</f>
        <v/>
      </c>
      <c r="AJ92" s="16" t="str">
        <f aca="false">IF(AND(ISNUMBER(SEARCH(" MAC "," "&amp;SUBSTITUTE($I92,","," ")&amp;" ")),ISNUMBER($L92)),$L92,"")</f>
        <v/>
      </c>
      <c r="AK92" s="16" t="str">
        <f aca="false">IF(AND(ISNUMBER(SEARCH(" UAH "," "&amp;SUBSTITUTE($I92,","," ")&amp;" ")),ISNUMBER($L92)),$L92,"")</f>
        <v/>
      </c>
      <c r="AL92" s="16" t="str">
        <f aca="false">IF(AND(ISNUMBER(SEARCH(" RB "," "&amp;SUBSTITUTE($I92,","," ")&amp;" ")),ISNUMBER($L92)),$L92,"")</f>
        <v/>
      </c>
    </row>
    <row r="93" customFormat="false" ht="55.5" hidden="false" customHeight="true" outlineLevel="0" collapsed="false">
      <c r="A93" s="17" t="s">
        <v>724</v>
      </c>
      <c r="B93" s="18" t="s">
        <v>725</v>
      </c>
      <c r="C93" s="18" t="s">
        <v>726</v>
      </c>
      <c r="D93" s="5" t="s">
        <v>727</v>
      </c>
      <c r="E93" s="5" t="s">
        <v>728</v>
      </c>
      <c r="F93" s="5" t="s">
        <v>729</v>
      </c>
      <c r="G93" s="5" t="s">
        <v>730</v>
      </c>
      <c r="H93" s="5" t="s">
        <v>731</v>
      </c>
      <c r="I93" s="13"/>
      <c r="J93" s="13" t="s">
        <v>50</v>
      </c>
      <c r="K93" s="9" t="n">
        <v>2</v>
      </c>
      <c r="L93" s="9"/>
      <c r="M93" s="13" t="str">
        <f aca="false">IF(ISNUMBER(L93),IF(L93&lt;K93,"Gap","OK"),IF(L93="N/A","N/A",""))</f>
        <v/>
      </c>
      <c r="N93" s="9"/>
      <c r="O93" s="9"/>
      <c r="P93" s="13" t="str">
        <f aca="false">IF(AND(M93="Gap",N93&lt;&gt;"",O93&lt;&gt;""),VLOOKUP(N93&amp;O93,Lists!$H$4:$I$12,2,FALSE()),"")</f>
        <v/>
      </c>
      <c r="Q93" s="13" t="str">
        <f aca="false">IF(AND(M93="Gap",O93="S",OR(N93="H",N93="M")),"Yes","")</f>
        <v/>
      </c>
      <c r="R93" s="9" t="s">
        <v>50</v>
      </c>
      <c r="S93" s="14" t="str">
        <f aca="false">IF(A93="","",IFERROR(IF(OR(VLOOKUP(A93,AutoEvidence!$A$2:$G$400,2,FALSE())="Collected",VLOOKUP(A93,AutoEvidence!$A$2:$G$400,2,FALSE())="Partial"),VLOOKUP(A93,AutoEvidence!$A$2:$G$400,3,FALSE())&amp;" ("&amp;VLOOKUP(A93,AutoEvidence!$A$2:$G$400,2,FALSE())&amp;")",VLOOKUP(A93,AutoEvidence!$A$2:$G$400,2,FALSE())),""))</f>
        <v/>
      </c>
      <c r="T93" s="7" t="str">
        <f aca="false">IF(A93="","",IFERROR(VLOOKUP(A93,AutoEvidence!$A$2:$G$400,4,FALSE())&amp;"",""))</f>
        <v/>
      </c>
      <c r="U93" s="6"/>
      <c r="V93" s="6"/>
      <c r="W93" s="9"/>
      <c r="X93" s="6"/>
      <c r="Y93" s="6"/>
      <c r="Z93" s="9"/>
      <c r="AA93" s="15"/>
      <c r="AB93" s="13" t="str">
        <f aca="false">IF(M93="Gap",1,IF(M93="OK",0,""))</f>
        <v/>
      </c>
      <c r="AC93" s="16" t="str">
        <f aca="false">IF(P93&lt;&gt;"",VALUE(RIGHT(P93,1))*1000+ROW(),"")</f>
        <v/>
      </c>
      <c r="AD93" s="16" t="str">
        <f aca="false">IF(ISNUMBER(L93),MIN(L93,K93),"")</f>
        <v/>
      </c>
      <c r="AE93" s="16" t="str">
        <f aca="false">IF(AND(ISNUMBER(SEARCH(" PA "," "&amp;SUBSTITUTE($I93,","," ")&amp;" ")),ISNUMBER($L93)),$L93,"")</f>
        <v/>
      </c>
      <c r="AF93" s="16" t="str">
        <f aca="false">IF(AND(ISNUMBER(SEARCH(" PO "," "&amp;SUBSTITUTE($I93,","," ")&amp;" ")),ISNUMBER($L93)),$L93,"")</f>
        <v/>
      </c>
      <c r="AG93" s="16" t="str">
        <f aca="false">IF(AND(ISNUMBER(SEARCH(" MFA "," "&amp;SUBSTITUTE($I93,","," ")&amp;" ")),ISNUMBER($L93)),$L93,"")</f>
        <v/>
      </c>
      <c r="AH93" s="16" t="str">
        <f aca="false">IF(AND(ISNUMBER(SEARCH(" RAP "," "&amp;SUBSTITUTE($I93,","," ")&amp;" ")),ISNUMBER($L93)),$L93,"")</f>
        <v/>
      </c>
      <c r="AI93" s="16" t="str">
        <f aca="false">IF(AND(ISNUMBER(SEARCH(" AC "," "&amp;SUBSTITUTE($I93,","," ")&amp;" ")),ISNUMBER($L93)),$L93,"")</f>
        <v/>
      </c>
      <c r="AJ93" s="16" t="str">
        <f aca="false">IF(AND(ISNUMBER(SEARCH(" MAC "," "&amp;SUBSTITUTE($I93,","," ")&amp;" ")),ISNUMBER($L93)),$L93,"")</f>
        <v/>
      </c>
      <c r="AK93" s="16" t="str">
        <f aca="false">IF(AND(ISNUMBER(SEARCH(" UAH "," "&amp;SUBSTITUTE($I93,","," ")&amp;" ")),ISNUMBER($L93)),$L93,"")</f>
        <v/>
      </c>
      <c r="AL93" s="16" t="str">
        <f aca="false">IF(AND(ISNUMBER(SEARCH(" RB "," "&amp;SUBSTITUTE($I93,","," ")&amp;" ")),ISNUMBER($L93)),$L93,"")</f>
        <v/>
      </c>
    </row>
    <row r="94" customFormat="false" ht="55.5" hidden="false" customHeight="true" outlineLevel="0" collapsed="false">
      <c r="A94" s="17" t="s">
        <v>732</v>
      </c>
      <c r="B94" s="18" t="s">
        <v>725</v>
      </c>
      <c r="C94" s="18" t="s">
        <v>726</v>
      </c>
      <c r="D94" s="5" t="s">
        <v>733</v>
      </c>
      <c r="E94" s="5" t="s">
        <v>734</v>
      </c>
      <c r="F94" s="5" t="s">
        <v>735</v>
      </c>
      <c r="G94" s="5" t="s">
        <v>736</v>
      </c>
      <c r="H94" s="5" t="s">
        <v>737</v>
      </c>
      <c r="I94" s="13"/>
      <c r="J94" s="13" t="s">
        <v>48</v>
      </c>
      <c r="K94" s="9" t="n">
        <v>2</v>
      </c>
      <c r="L94" s="9"/>
      <c r="M94" s="13" t="str">
        <f aca="false">IF(ISNUMBER(L94),IF(L94&lt;K94,"Gap","OK"),IF(L94="N/A","N/A",""))</f>
        <v/>
      </c>
      <c r="N94" s="9"/>
      <c r="O94" s="9"/>
      <c r="P94" s="13" t="str">
        <f aca="false">IF(AND(M94="Gap",N94&lt;&gt;"",O94&lt;&gt;""),VLOOKUP(N94&amp;O94,Lists!$H$4:$I$12,2,FALSE()),"")</f>
        <v/>
      </c>
      <c r="Q94" s="13" t="str">
        <f aca="false">IF(AND(M94="Gap",O94="S",OR(N94="H",N94="M")),"Yes","")</f>
        <v/>
      </c>
      <c r="R94" s="9" t="s">
        <v>48</v>
      </c>
      <c r="S94" s="14" t="str">
        <f aca="false">IF(A94="","",IFERROR(IF(OR(VLOOKUP(A94,AutoEvidence!$A$2:$G$400,2,FALSE())="Collected",VLOOKUP(A94,AutoEvidence!$A$2:$G$400,2,FALSE())="Partial"),VLOOKUP(A94,AutoEvidence!$A$2:$G$400,3,FALSE())&amp;" ("&amp;VLOOKUP(A94,AutoEvidence!$A$2:$G$400,2,FALSE())&amp;")",VLOOKUP(A94,AutoEvidence!$A$2:$G$400,2,FALSE())),""))</f>
        <v/>
      </c>
      <c r="T94" s="7" t="str">
        <f aca="false">IF(A94="","",IFERROR(VLOOKUP(A94,AutoEvidence!$A$2:$G$400,4,FALSE())&amp;"",""))</f>
        <v/>
      </c>
      <c r="U94" s="6"/>
      <c r="V94" s="6"/>
      <c r="W94" s="9"/>
      <c r="X94" s="6"/>
      <c r="Y94" s="6"/>
      <c r="Z94" s="9"/>
      <c r="AA94" s="15"/>
      <c r="AB94" s="13" t="str">
        <f aca="false">IF(M94="Gap",1,IF(M94="OK",0,""))</f>
        <v/>
      </c>
      <c r="AC94" s="16" t="str">
        <f aca="false">IF(P94&lt;&gt;"",VALUE(RIGHT(P94,1))*1000+ROW(),"")</f>
        <v/>
      </c>
      <c r="AD94" s="16" t="str">
        <f aca="false">IF(ISNUMBER(L94),MIN(L94,K94),"")</f>
        <v/>
      </c>
      <c r="AE94" s="16" t="str">
        <f aca="false">IF(AND(ISNUMBER(SEARCH(" PA "," "&amp;SUBSTITUTE($I94,","," ")&amp;" ")),ISNUMBER($L94)),$L94,"")</f>
        <v/>
      </c>
      <c r="AF94" s="16" t="str">
        <f aca="false">IF(AND(ISNUMBER(SEARCH(" PO "," "&amp;SUBSTITUTE($I94,","," ")&amp;" ")),ISNUMBER($L94)),$L94,"")</f>
        <v/>
      </c>
      <c r="AG94" s="16" t="str">
        <f aca="false">IF(AND(ISNUMBER(SEARCH(" MFA "," "&amp;SUBSTITUTE($I94,","," ")&amp;" ")),ISNUMBER($L94)),$L94,"")</f>
        <v/>
      </c>
      <c r="AH94" s="16" t="str">
        <f aca="false">IF(AND(ISNUMBER(SEARCH(" RAP "," "&amp;SUBSTITUTE($I94,","," ")&amp;" ")),ISNUMBER($L94)),$L94,"")</f>
        <v/>
      </c>
      <c r="AI94" s="16" t="str">
        <f aca="false">IF(AND(ISNUMBER(SEARCH(" AC "," "&amp;SUBSTITUTE($I94,","," ")&amp;" ")),ISNUMBER($L94)),$L94,"")</f>
        <v/>
      </c>
      <c r="AJ94" s="16" t="str">
        <f aca="false">IF(AND(ISNUMBER(SEARCH(" MAC "," "&amp;SUBSTITUTE($I94,","," ")&amp;" ")),ISNUMBER($L94)),$L94,"")</f>
        <v/>
      </c>
      <c r="AK94" s="16" t="str">
        <f aca="false">IF(AND(ISNUMBER(SEARCH(" UAH "," "&amp;SUBSTITUTE($I94,","," ")&amp;" ")),ISNUMBER($L94)),$L94,"")</f>
        <v/>
      </c>
      <c r="AL94" s="16" t="str">
        <f aca="false">IF(AND(ISNUMBER(SEARCH(" RB "," "&amp;SUBSTITUTE($I94,","," ")&amp;" ")),ISNUMBER($L94)),$L94,"")</f>
        <v/>
      </c>
    </row>
    <row r="95" customFormat="false" ht="69" hidden="false" customHeight="true" outlineLevel="0" collapsed="false">
      <c r="A95" s="17" t="s">
        <v>738</v>
      </c>
      <c r="B95" s="18" t="s">
        <v>725</v>
      </c>
      <c r="C95" s="18" t="s">
        <v>726</v>
      </c>
      <c r="D95" s="5" t="s">
        <v>739</v>
      </c>
      <c r="E95" s="5" t="s">
        <v>740</v>
      </c>
      <c r="F95" s="5" t="s">
        <v>741</v>
      </c>
      <c r="G95" s="5" t="s">
        <v>742</v>
      </c>
      <c r="H95" s="5" t="s">
        <v>743</v>
      </c>
      <c r="I95" s="13" t="s">
        <v>744</v>
      </c>
      <c r="J95" s="13" t="s">
        <v>48</v>
      </c>
      <c r="K95" s="9" t="n">
        <v>2</v>
      </c>
      <c r="L95" s="9"/>
      <c r="M95" s="13" t="str">
        <f aca="false">IF(ISNUMBER(L95),IF(L95&lt;K95,"Gap","OK"),IF(L95="N/A","N/A",""))</f>
        <v/>
      </c>
      <c r="N95" s="9"/>
      <c r="O95" s="9"/>
      <c r="P95" s="13" t="str">
        <f aca="false">IF(AND(M95="Gap",N95&lt;&gt;"",O95&lt;&gt;""),VLOOKUP(N95&amp;O95,Lists!$H$4:$I$12,2,FALSE()),"")</f>
        <v/>
      </c>
      <c r="Q95" s="13" t="str">
        <f aca="false">IF(AND(M95="Gap",O95="S",OR(N95="H",N95="M")),"Yes","")</f>
        <v/>
      </c>
      <c r="R95" s="9" t="s">
        <v>48</v>
      </c>
      <c r="S95" s="14" t="str">
        <f aca="false">IF(A95="","",IFERROR(IF(OR(VLOOKUP(A95,AutoEvidence!$A$2:$G$400,2,FALSE())="Collected",VLOOKUP(A95,AutoEvidence!$A$2:$G$400,2,FALSE())="Partial"),VLOOKUP(A95,AutoEvidence!$A$2:$G$400,3,FALSE())&amp;" ("&amp;VLOOKUP(A95,AutoEvidence!$A$2:$G$400,2,FALSE())&amp;")",VLOOKUP(A95,AutoEvidence!$A$2:$G$400,2,FALSE())),""))</f>
        <v/>
      </c>
      <c r="T95" s="7" t="str">
        <f aca="false">IF(A95="","",IFERROR(VLOOKUP(A95,AutoEvidence!$A$2:$G$400,4,FALSE())&amp;"",""))</f>
        <v/>
      </c>
      <c r="U95" s="6"/>
      <c r="V95" s="6"/>
      <c r="W95" s="9"/>
      <c r="X95" s="6"/>
      <c r="Y95" s="6"/>
      <c r="Z95" s="9"/>
      <c r="AA95" s="15"/>
      <c r="AB95" s="13" t="str">
        <f aca="false">IF(M95="Gap",1,IF(M95="OK",0,""))</f>
        <v/>
      </c>
      <c r="AC95" s="16" t="str">
        <f aca="false">IF(P95&lt;&gt;"",VALUE(RIGHT(P95,1))*1000+ROW(),"")</f>
        <v/>
      </c>
      <c r="AD95" s="16" t="str">
        <f aca="false">IF(ISNUMBER(L95),MIN(L95,K95),"")</f>
        <v/>
      </c>
      <c r="AE95" s="16" t="str">
        <f aca="false">IF(AND(ISNUMBER(SEARCH(" PA "," "&amp;SUBSTITUTE($I95,","," ")&amp;" ")),ISNUMBER($L95)),$L95,"")</f>
        <v/>
      </c>
      <c r="AF95" s="16" t="str">
        <f aca="false">IF(AND(ISNUMBER(SEARCH(" PO "," "&amp;SUBSTITUTE($I95,","," ")&amp;" ")),ISNUMBER($L95)),$L95,"")</f>
        <v/>
      </c>
      <c r="AG95" s="16" t="str">
        <f aca="false">IF(AND(ISNUMBER(SEARCH(" MFA "," "&amp;SUBSTITUTE($I95,","," ")&amp;" ")),ISNUMBER($L95)),$L95,"")</f>
        <v/>
      </c>
      <c r="AH95" s="16" t="str">
        <f aca="false">IF(AND(ISNUMBER(SEARCH(" RAP "," "&amp;SUBSTITUTE($I95,","," ")&amp;" ")),ISNUMBER($L95)),$L95,"")</f>
        <v/>
      </c>
      <c r="AI95" s="16" t="str">
        <f aca="false">IF(AND(ISNUMBER(SEARCH(" AC "," "&amp;SUBSTITUTE($I95,","," ")&amp;" ")),ISNUMBER($L95)),$L95,"")</f>
        <v/>
      </c>
      <c r="AJ95" s="16" t="str">
        <f aca="false">IF(AND(ISNUMBER(SEARCH(" MAC "," "&amp;SUBSTITUTE($I95,","," ")&amp;" ")),ISNUMBER($L95)),$L95,"")</f>
        <v/>
      </c>
      <c r="AK95" s="16" t="str">
        <f aca="false">IF(AND(ISNUMBER(SEARCH(" UAH "," "&amp;SUBSTITUTE($I95,","," ")&amp;" ")),ISNUMBER($L95)),$L95,"")</f>
        <v/>
      </c>
      <c r="AL95" s="16" t="str">
        <f aca="false">IF(AND(ISNUMBER(SEARCH(" RB "," "&amp;SUBSTITUTE($I95,","," ")&amp;" ")),ISNUMBER($L95)),$L95,"")</f>
        <v/>
      </c>
    </row>
    <row r="96" customFormat="false" ht="69" hidden="false" customHeight="true" outlineLevel="0" collapsed="false">
      <c r="A96" s="17" t="s">
        <v>745</v>
      </c>
      <c r="B96" s="18" t="s">
        <v>725</v>
      </c>
      <c r="C96" s="18" t="s">
        <v>726</v>
      </c>
      <c r="D96" s="5" t="s">
        <v>746</v>
      </c>
      <c r="E96" s="5" t="s">
        <v>747</v>
      </c>
      <c r="F96" s="5" t="s">
        <v>748</v>
      </c>
      <c r="G96" s="5" t="s">
        <v>749</v>
      </c>
      <c r="H96" s="5" t="s">
        <v>750</v>
      </c>
      <c r="I96" s="13" t="s">
        <v>296</v>
      </c>
      <c r="J96" s="13" t="s">
        <v>48</v>
      </c>
      <c r="K96" s="9" t="n">
        <v>2</v>
      </c>
      <c r="L96" s="9"/>
      <c r="M96" s="13" t="str">
        <f aca="false">IF(ISNUMBER(L96),IF(L96&lt;K96,"Gap","OK"),IF(L96="N/A","N/A",""))</f>
        <v/>
      </c>
      <c r="N96" s="9"/>
      <c r="O96" s="9"/>
      <c r="P96" s="13" t="str">
        <f aca="false">IF(AND(M96="Gap",N96&lt;&gt;"",O96&lt;&gt;""),VLOOKUP(N96&amp;O96,Lists!$H$4:$I$12,2,FALSE()),"")</f>
        <v/>
      </c>
      <c r="Q96" s="13" t="str">
        <f aca="false">IF(AND(M96="Gap",O96="S",OR(N96="H",N96="M")),"Yes","")</f>
        <v/>
      </c>
      <c r="R96" s="9" t="s">
        <v>48</v>
      </c>
      <c r="S96" s="14" t="str">
        <f aca="false">IF(A96="","",IFERROR(IF(OR(VLOOKUP(A96,AutoEvidence!$A$2:$G$400,2,FALSE())="Collected",VLOOKUP(A96,AutoEvidence!$A$2:$G$400,2,FALSE())="Partial"),VLOOKUP(A96,AutoEvidence!$A$2:$G$400,3,FALSE())&amp;" ("&amp;VLOOKUP(A96,AutoEvidence!$A$2:$G$400,2,FALSE())&amp;")",VLOOKUP(A96,AutoEvidence!$A$2:$G$400,2,FALSE())),""))</f>
        <v/>
      </c>
      <c r="T96" s="7" t="str">
        <f aca="false">IF(A96="","",IFERROR(VLOOKUP(A96,AutoEvidence!$A$2:$G$400,4,FALSE())&amp;"",""))</f>
        <v/>
      </c>
      <c r="U96" s="6"/>
      <c r="V96" s="6"/>
      <c r="W96" s="9"/>
      <c r="X96" s="6"/>
      <c r="Y96" s="6"/>
      <c r="Z96" s="9"/>
      <c r="AA96" s="15"/>
      <c r="AB96" s="13" t="str">
        <f aca="false">IF(M96="Gap",1,IF(M96="OK",0,""))</f>
        <v/>
      </c>
      <c r="AC96" s="16" t="str">
        <f aca="false">IF(P96&lt;&gt;"",VALUE(RIGHT(P96,1))*1000+ROW(),"")</f>
        <v/>
      </c>
      <c r="AD96" s="16" t="str">
        <f aca="false">IF(ISNUMBER(L96),MIN(L96,K96),"")</f>
        <v/>
      </c>
      <c r="AE96" s="16" t="str">
        <f aca="false">IF(AND(ISNUMBER(SEARCH(" PA "," "&amp;SUBSTITUTE($I96,","," ")&amp;" ")),ISNUMBER($L96)),$L96,"")</f>
        <v/>
      </c>
      <c r="AF96" s="16" t="str">
        <f aca="false">IF(AND(ISNUMBER(SEARCH(" PO "," "&amp;SUBSTITUTE($I96,","," ")&amp;" ")),ISNUMBER($L96)),$L96,"")</f>
        <v/>
      </c>
      <c r="AG96" s="16" t="str">
        <f aca="false">IF(AND(ISNUMBER(SEARCH(" MFA "," "&amp;SUBSTITUTE($I96,","," ")&amp;" ")),ISNUMBER($L96)),$L96,"")</f>
        <v/>
      </c>
      <c r="AH96" s="16" t="str">
        <f aca="false">IF(AND(ISNUMBER(SEARCH(" RAP "," "&amp;SUBSTITUTE($I96,","," ")&amp;" ")),ISNUMBER($L96)),$L96,"")</f>
        <v/>
      </c>
      <c r="AI96" s="16" t="str">
        <f aca="false">IF(AND(ISNUMBER(SEARCH(" AC "," "&amp;SUBSTITUTE($I96,","," ")&amp;" ")),ISNUMBER($L96)),$L96,"")</f>
        <v/>
      </c>
      <c r="AJ96" s="16" t="str">
        <f aca="false">IF(AND(ISNUMBER(SEARCH(" MAC "," "&amp;SUBSTITUTE($I96,","," ")&amp;" ")),ISNUMBER($L96)),$L96,"")</f>
        <v/>
      </c>
      <c r="AK96" s="16" t="str">
        <f aca="false">IF(AND(ISNUMBER(SEARCH(" UAH "," "&amp;SUBSTITUTE($I96,","," ")&amp;" ")),ISNUMBER($L96)),$L96,"")</f>
        <v/>
      </c>
      <c r="AL96" s="16" t="str">
        <f aca="false">IF(AND(ISNUMBER(SEARCH(" RB "," "&amp;SUBSTITUTE($I96,","," ")&amp;" ")),ISNUMBER($L96)),$L96,"")</f>
        <v/>
      </c>
    </row>
    <row r="97" customFormat="false" ht="55.5" hidden="false" customHeight="true" outlineLevel="0" collapsed="false">
      <c r="A97" s="17" t="s">
        <v>751</v>
      </c>
      <c r="B97" s="18" t="s">
        <v>725</v>
      </c>
      <c r="C97" s="18" t="s">
        <v>726</v>
      </c>
      <c r="D97" s="5" t="s">
        <v>752</v>
      </c>
      <c r="E97" s="5" t="s">
        <v>753</v>
      </c>
      <c r="F97" s="5" t="s">
        <v>754</v>
      </c>
      <c r="G97" s="5" t="s">
        <v>755</v>
      </c>
      <c r="H97" s="5" t="s">
        <v>756</v>
      </c>
      <c r="I97" s="13"/>
      <c r="J97" s="13" t="s">
        <v>50</v>
      </c>
      <c r="K97" s="9" t="n">
        <v>2</v>
      </c>
      <c r="L97" s="9"/>
      <c r="M97" s="13" t="str">
        <f aca="false">IF(ISNUMBER(L97),IF(L97&lt;K97,"Gap","OK"),IF(L97="N/A","N/A",""))</f>
        <v/>
      </c>
      <c r="N97" s="9"/>
      <c r="O97" s="9"/>
      <c r="P97" s="13" t="str">
        <f aca="false">IF(AND(M97="Gap",N97&lt;&gt;"",O97&lt;&gt;""),VLOOKUP(N97&amp;O97,Lists!$H$4:$I$12,2,FALSE()),"")</f>
        <v/>
      </c>
      <c r="Q97" s="13" t="str">
        <f aca="false">IF(AND(M97="Gap",O97="S",OR(N97="H",N97="M")),"Yes","")</f>
        <v/>
      </c>
      <c r="R97" s="9" t="s">
        <v>50</v>
      </c>
      <c r="S97" s="14" t="str">
        <f aca="false">IF(A97="","",IFERROR(IF(OR(VLOOKUP(A97,AutoEvidence!$A$2:$G$400,2,FALSE())="Collected",VLOOKUP(A97,AutoEvidence!$A$2:$G$400,2,FALSE())="Partial"),VLOOKUP(A97,AutoEvidence!$A$2:$G$400,3,FALSE())&amp;" ("&amp;VLOOKUP(A97,AutoEvidence!$A$2:$G$400,2,FALSE())&amp;")",VLOOKUP(A97,AutoEvidence!$A$2:$G$400,2,FALSE())),""))</f>
        <v/>
      </c>
      <c r="T97" s="7" t="str">
        <f aca="false">IF(A97="","",IFERROR(VLOOKUP(A97,AutoEvidence!$A$2:$G$400,4,FALSE())&amp;"",""))</f>
        <v/>
      </c>
      <c r="U97" s="6"/>
      <c r="V97" s="6"/>
      <c r="W97" s="9"/>
      <c r="X97" s="6"/>
      <c r="Y97" s="6"/>
      <c r="Z97" s="9"/>
      <c r="AA97" s="15"/>
      <c r="AB97" s="13" t="str">
        <f aca="false">IF(M97="Gap",1,IF(M97="OK",0,""))</f>
        <v/>
      </c>
      <c r="AC97" s="16" t="str">
        <f aca="false">IF(P97&lt;&gt;"",VALUE(RIGHT(P97,1))*1000+ROW(),"")</f>
        <v/>
      </c>
      <c r="AD97" s="16" t="str">
        <f aca="false">IF(ISNUMBER(L97),MIN(L97,K97),"")</f>
        <v/>
      </c>
      <c r="AE97" s="16" t="str">
        <f aca="false">IF(AND(ISNUMBER(SEARCH(" PA "," "&amp;SUBSTITUTE($I97,","," ")&amp;" ")),ISNUMBER($L97)),$L97,"")</f>
        <v/>
      </c>
      <c r="AF97" s="16" t="str">
        <f aca="false">IF(AND(ISNUMBER(SEARCH(" PO "," "&amp;SUBSTITUTE($I97,","," ")&amp;" ")),ISNUMBER($L97)),$L97,"")</f>
        <v/>
      </c>
      <c r="AG97" s="16" t="str">
        <f aca="false">IF(AND(ISNUMBER(SEARCH(" MFA "," "&amp;SUBSTITUTE($I97,","," ")&amp;" ")),ISNUMBER($L97)),$L97,"")</f>
        <v/>
      </c>
      <c r="AH97" s="16" t="str">
        <f aca="false">IF(AND(ISNUMBER(SEARCH(" RAP "," "&amp;SUBSTITUTE($I97,","," ")&amp;" ")),ISNUMBER($L97)),$L97,"")</f>
        <v/>
      </c>
      <c r="AI97" s="16" t="str">
        <f aca="false">IF(AND(ISNUMBER(SEARCH(" AC "," "&amp;SUBSTITUTE($I97,","," ")&amp;" ")),ISNUMBER($L97)),$L97,"")</f>
        <v/>
      </c>
      <c r="AJ97" s="16" t="str">
        <f aca="false">IF(AND(ISNUMBER(SEARCH(" MAC "," "&amp;SUBSTITUTE($I97,","," ")&amp;" ")),ISNUMBER($L97)),$L97,"")</f>
        <v/>
      </c>
      <c r="AK97" s="16" t="str">
        <f aca="false">IF(AND(ISNUMBER(SEARCH(" UAH "," "&amp;SUBSTITUTE($I97,","," ")&amp;" ")),ISNUMBER($L97)),$L97,"")</f>
        <v/>
      </c>
      <c r="AL97" s="16" t="str">
        <f aca="false">IF(AND(ISNUMBER(SEARCH(" RB "," "&amp;SUBSTITUTE($I97,","," ")&amp;" ")),ISNUMBER($L97)),$L97,"")</f>
        <v/>
      </c>
    </row>
    <row r="98" customFormat="false" ht="55.5" hidden="false" customHeight="true" outlineLevel="0" collapsed="false">
      <c r="A98" s="17" t="s">
        <v>757</v>
      </c>
      <c r="B98" s="18" t="s">
        <v>725</v>
      </c>
      <c r="C98" s="18" t="s">
        <v>726</v>
      </c>
      <c r="D98" s="5" t="s">
        <v>758</v>
      </c>
      <c r="E98" s="5" t="s">
        <v>759</v>
      </c>
      <c r="F98" s="5" t="s">
        <v>760</v>
      </c>
      <c r="G98" s="5" t="s">
        <v>761</v>
      </c>
      <c r="H98" s="5" t="s">
        <v>762</v>
      </c>
      <c r="I98" s="13"/>
      <c r="J98" s="13" t="s">
        <v>48</v>
      </c>
      <c r="K98" s="9" t="n">
        <v>2</v>
      </c>
      <c r="L98" s="9"/>
      <c r="M98" s="13" t="str">
        <f aca="false">IF(ISNUMBER(L98),IF(L98&lt;K98,"Gap","OK"),IF(L98="N/A","N/A",""))</f>
        <v/>
      </c>
      <c r="N98" s="9"/>
      <c r="O98" s="9"/>
      <c r="P98" s="13" t="str">
        <f aca="false">IF(AND(M98="Gap",N98&lt;&gt;"",O98&lt;&gt;""),VLOOKUP(N98&amp;O98,Lists!$H$4:$I$12,2,FALSE()),"")</f>
        <v/>
      </c>
      <c r="Q98" s="13" t="str">
        <f aca="false">IF(AND(M98="Gap",O98="S",OR(N98="H",N98="M")),"Yes","")</f>
        <v/>
      </c>
      <c r="R98" s="9" t="s">
        <v>48</v>
      </c>
      <c r="S98" s="14" t="str">
        <f aca="false">IF(A98="","",IFERROR(IF(OR(VLOOKUP(A98,AutoEvidence!$A$2:$G$400,2,FALSE())="Collected",VLOOKUP(A98,AutoEvidence!$A$2:$G$400,2,FALSE())="Partial"),VLOOKUP(A98,AutoEvidence!$A$2:$G$400,3,FALSE())&amp;" ("&amp;VLOOKUP(A98,AutoEvidence!$A$2:$G$400,2,FALSE())&amp;")",VLOOKUP(A98,AutoEvidence!$A$2:$G$400,2,FALSE())),""))</f>
        <v/>
      </c>
      <c r="T98" s="7" t="str">
        <f aca="false">IF(A98="","",IFERROR(VLOOKUP(A98,AutoEvidence!$A$2:$G$400,4,FALSE())&amp;"",""))</f>
        <v/>
      </c>
      <c r="U98" s="6"/>
      <c r="V98" s="6"/>
      <c r="W98" s="9"/>
      <c r="X98" s="6"/>
      <c r="Y98" s="6"/>
      <c r="Z98" s="9"/>
      <c r="AA98" s="15"/>
      <c r="AB98" s="13" t="str">
        <f aca="false">IF(M98="Gap",1,IF(M98="OK",0,""))</f>
        <v/>
      </c>
      <c r="AC98" s="16" t="str">
        <f aca="false">IF(P98&lt;&gt;"",VALUE(RIGHT(P98,1))*1000+ROW(),"")</f>
        <v/>
      </c>
      <c r="AD98" s="16" t="str">
        <f aca="false">IF(ISNUMBER(L98),MIN(L98,K98),"")</f>
        <v/>
      </c>
      <c r="AE98" s="16" t="str">
        <f aca="false">IF(AND(ISNUMBER(SEARCH(" PA "," "&amp;SUBSTITUTE($I98,","," ")&amp;" ")),ISNUMBER($L98)),$L98,"")</f>
        <v/>
      </c>
      <c r="AF98" s="16" t="str">
        <f aca="false">IF(AND(ISNUMBER(SEARCH(" PO "," "&amp;SUBSTITUTE($I98,","," ")&amp;" ")),ISNUMBER($L98)),$L98,"")</f>
        <v/>
      </c>
      <c r="AG98" s="16" t="str">
        <f aca="false">IF(AND(ISNUMBER(SEARCH(" MFA "," "&amp;SUBSTITUTE($I98,","," ")&amp;" ")),ISNUMBER($L98)),$L98,"")</f>
        <v/>
      </c>
      <c r="AH98" s="16" t="str">
        <f aca="false">IF(AND(ISNUMBER(SEARCH(" RAP "," "&amp;SUBSTITUTE($I98,","," ")&amp;" ")),ISNUMBER($L98)),$L98,"")</f>
        <v/>
      </c>
      <c r="AI98" s="16" t="str">
        <f aca="false">IF(AND(ISNUMBER(SEARCH(" AC "," "&amp;SUBSTITUTE($I98,","," ")&amp;" ")),ISNUMBER($L98)),$L98,"")</f>
        <v/>
      </c>
      <c r="AJ98" s="16" t="str">
        <f aca="false">IF(AND(ISNUMBER(SEARCH(" MAC "," "&amp;SUBSTITUTE($I98,","," ")&amp;" ")),ISNUMBER($L98)),$L98,"")</f>
        <v/>
      </c>
      <c r="AK98" s="16" t="str">
        <f aca="false">IF(AND(ISNUMBER(SEARCH(" UAH "," "&amp;SUBSTITUTE($I98,","," ")&amp;" ")),ISNUMBER($L98)),$L98,"")</f>
        <v/>
      </c>
      <c r="AL98" s="16" t="str">
        <f aca="false">IF(AND(ISNUMBER(SEARCH(" RB "," "&amp;SUBSTITUTE($I98,","," ")&amp;" ")),ISNUMBER($L98)),$L98,"")</f>
        <v/>
      </c>
    </row>
    <row r="99" customFormat="false" ht="69" hidden="false" customHeight="true" outlineLevel="0" collapsed="false">
      <c r="A99" s="17" t="s">
        <v>763</v>
      </c>
      <c r="B99" s="18" t="s">
        <v>725</v>
      </c>
      <c r="C99" s="18" t="s">
        <v>726</v>
      </c>
      <c r="D99" s="5" t="s">
        <v>764</v>
      </c>
      <c r="E99" s="5" t="s">
        <v>765</v>
      </c>
      <c r="F99" s="5" t="s">
        <v>766</v>
      </c>
      <c r="G99" s="5" t="s">
        <v>767</v>
      </c>
      <c r="H99" s="5" t="s">
        <v>768</v>
      </c>
      <c r="I99" s="13"/>
      <c r="J99" s="13" t="s">
        <v>50</v>
      </c>
      <c r="K99" s="9" t="n">
        <v>2</v>
      </c>
      <c r="L99" s="9"/>
      <c r="M99" s="13" t="str">
        <f aca="false">IF(ISNUMBER(L99),IF(L99&lt;K99,"Gap","OK"),IF(L99="N/A","N/A",""))</f>
        <v/>
      </c>
      <c r="N99" s="9"/>
      <c r="O99" s="9"/>
      <c r="P99" s="13" t="str">
        <f aca="false">IF(AND(M99="Gap",N99&lt;&gt;"",O99&lt;&gt;""),VLOOKUP(N99&amp;O99,Lists!$H$4:$I$12,2,FALSE()),"")</f>
        <v/>
      </c>
      <c r="Q99" s="13" t="str">
        <f aca="false">IF(AND(M99="Gap",O99="S",OR(N99="H",N99="M")),"Yes","")</f>
        <v/>
      </c>
      <c r="R99" s="9" t="s">
        <v>50</v>
      </c>
      <c r="S99" s="14" t="str">
        <f aca="false">IF(A99="","",IFERROR(IF(OR(VLOOKUP(A99,AutoEvidence!$A$2:$G$400,2,FALSE())="Collected",VLOOKUP(A99,AutoEvidence!$A$2:$G$400,2,FALSE())="Partial"),VLOOKUP(A99,AutoEvidence!$A$2:$G$400,3,FALSE())&amp;" ("&amp;VLOOKUP(A99,AutoEvidence!$A$2:$G$400,2,FALSE())&amp;")",VLOOKUP(A99,AutoEvidence!$A$2:$G$400,2,FALSE())),""))</f>
        <v/>
      </c>
      <c r="T99" s="7" t="str">
        <f aca="false">IF(A99="","",IFERROR(VLOOKUP(A99,AutoEvidence!$A$2:$G$400,4,FALSE())&amp;"",""))</f>
        <v/>
      </c>
      <c r="U99" s="6"/>
      <c r="V99" s="6"/>
      <c r="W99" s="9"/>
      <c r="X99" s="6"/>
      <c r="Y99" s="6"/>
      <c r="Z99" s="9"/>
      <c r="AA99" s="15"/>
      <c r="AB99" s="13" t="str">
        <f aca="false">IF(M99="Gap",1,IF(M99="OK",0,""))</f>
        <v/>
      </c>
      <c r="AC99" s="16" t="str">
        <f aca="false">IF(P99&lt;&gt;"",VALUE(RIGHT(P99,1))*1000+ROW(),"")</f>
        <v/>
      </c>
      <c r="AD99" s="16" t="str">
        <f aca="false">IF(ISNUMBER(L99),MIN(L99,K99),"")</f>
        <v/>
      </c>
      <c r="AE99" s="16" t="str">
        <f aca="false">IF(AND(ISNUMBER(SEARCH(" PA "," "&amp;SUBSTITUTE($I99,","," ")&amp;" ")),ISNUMBER($L99)),$L99,"")</f>
        <v/>
      </c>
      <c r="AF99" s="16" t="str">
        <f aca="false">IF(AND(ISNUMBER(SEARCH(" PO "," "&amp;SUBSTITUTE($I99,","," ")&amp;" ")),ISNUMBER($L99)),$L99,"")</f>
        <v/>
      </c>
      <c r="AG99" s="16" t="str">
        <f aca="false">IF(AND(ISNUMBER(SEARCH(" MFA "," "&amp;SUBSTITUTE($I99,","," ")&amp;" ")),ISNUMBER($L99)),$L99,"")</f>
        <v/>
      </c>
      <c r="AH99" s="16" t="str">
        <f aca="false">IF(AND(ISNUMBER(SEARCH(" RAP "," "&amp;SUBSTITUTE($I99,","," ")&amp;" ")),ISNUMBER($L99)),$L99,"")</f>
        <v/>
      </c>
      <c r="AI99" s="16" t="str">
        <f aca="false">IF(AND(ISNUMBER(SEARCH(" AC "," "&amp;SUBSTITUTE($I99,","," ")&amp;" ")),ISNUMBER($L99)),$L99,"")</f>
        <v/>
      </c>
      <c r="AJ99" s="16" t="str">
        <f aca="false">IF(AND(ISNUMBER(SEARCH(" MAC "," "&amp;SUBSTITUTE($I99,","," ")&amp;" ")),ISNUMBER($L99)),$L99,"")</f>
        <v/>
      </c>
      <c r="AK99" s="16" t="str">
        <f aca="false">IF(AND(ISNUMBER(SEARCH(" UAH "," "&amp;SUBSTITUTE($I99,","," ")&amp;" ")),ISNUMBER($L99)),$L99,"")</f>
        <v/>
      </c>
      <c r="AL99" s="16" t="str">
        <f aca="false">IF(AND(ISNUMBER(SEARCH(" RB "," "&amp;SUBSTITUTE($I99,","," ")&amp;" ")),ISNUMBER($L99)),$L99,"")</f>
        <v/>
      </c>
    </row>
    <row r="100" customFormat="false" ht="81.75" hidden="false" customHeight="true" outlineLevel="0" collapsed="false">
      <c r="A100" s="17" t="s">
        <v>769</v>
      </c>
      <c r="B100" s="18" t="s">
        <v>725</v>
      </c>
      <c r="C100" s="18" t="s">
        <v>726</v>
      </c>
      <c r="D100" s="5" t="s">
        <v>770</v>
      </c>
      <c r="E100" s="5" t="s">
        <v>771</v>
      </c>
      <c r="F100" s="5" t="s">
        <v>772</v>
      </c>
      <c r="G100" s="5" t="s">
        <v>773</v>
      </c>
      <c r="H100" s="5" t="s">
        <v>774</v>
      </c>
      <c r="I100" s="13" t="s">
        <v>208</v>
      </c>
      <c r="J100" s="13" t="s">
        <v>50</v>
      </c>
      <c r="K100" s="9" t="n">
        <v>2</v>
      </c>
      <c r="L100" s="9"/>
      <c r="M100" s="13" t="str">
        <f aca="false">IF(ISNUMBER(L100),IF(L100&lt;K100,"Gap","OK"),IF(L100="N/A","N/A",""))</f>
        <v/>
      </c>
      <c r="N100" s="9"/>
      <c r="O100" s="9"/>
      <c r="P100" s="13" t="str">
        <f aca="false">IF(AND(M100="Gap",N100&lt;&gt;"",O100&lt;&gt;""),VLOOKUP(N100&amp;O100,Lists!$H$4:$I$12,2,FALSE()),"")</f>
        <v/>
      </c>
      <c r="Q100" s="13" t="str">
        <f aca="false">IF(AND(M100="Gap",O100="S",OR(N100="H",N100="M")),"Yes","")</f>
        <v/>
      </c>
      <c r="R100" s="9" t="s">
        <v>50</v>
      </c>
      <c r="S100" s="14" t="str">
        <f aca="false">IF(A100="","",IFERROR(IF(OR(VLOOKUP(A100,AutoEvidence!$A$2:$G$400,2,FALSE())="Collected",VLOOKUP(A100,AutoEvidence!$A$2:$G$400,2,FALSE())="Partial"),VLOOKUP(A100,AutoEvidence!$A$2:$G$400,3,FALSE())&amp;" ("&amp;VLOOKUP(A100,AutoEvidence!$A$2:$G$400,2,FALSE())&amp;")",VLOOKUP(A100,AutoEvidence!$A$2:$G$400,2,FALSE())),""))</f>
        <v/>
      </c>
      <c r="T100" s="7" t="str">
        <f aca="false">IF(A100="","",IFERROR(VLOOKUP(A100,AutoEvidence!$A$2:$G$400,4,FALSE())&amp;"",""))</f>
        <v/>
      </c>
      <c r="U100" s="6"/>
      <c r="V100" s="6"/>
      <c r="W100" s="9"/>
      <c r="X100" s="6"/>
      <c r="Y100" s="6"/>
      <c r="Z100" s="9"/>
      <c r="AA100" s="15"/>
      <c r="AB100" s="13" t="str">
        <f aca="false">IF(M100="Gap",1,IF(M100="OK",0,""))</f>
        <v/>
      </c>
      <c r="AC100" s="16" t="str">
        <f aca="false">IF(P100&lt;&gt;"",VALUE(RIGHT(P100,1))*1000+ROW(),"")</f>
        <v/>
      </c>
      <c r="AD100" s="16" t="str">
        <f aca="false">IF(ISNUMBER(L100),MIN(L100,K100),"")</f>
        <v/>
      </c>
      <c r="AE100" s="16" t="str">
        <f aca="false">IF(AND(ISNUMBER(SEARCH(" PA "," "&amp;SUBSTITUTE($I100,","," ")&amp;" ")),ISNUMBER($L100)),$L100,"")</f>
        <v/>
      </c>
      <c r="AF100" s="16" t="str">
        <f aca="false">IF(AND(ISNUMBER(SEARCH(" PO "," "&amp;SUBSTITUTE($I100,","," ")&amp;" ")),ISNUMBER($L100)),$L100,"")</f>
        <v/>
      </c>
      <c r="AG100" s="16" t="str">
        <f aca="false">IF(AND(ISNUMBER(SEARCH(" MFA "," "&amp;SUBSTITUTE($I100,","," ")&amp;" ")),ISNUMBER($L100)),$L100,"")</f>
        <v/>
      </c>
      <c r="AH100" s="16" t="str">
        <f aca="false">IF(AND(ISNUMBER(SEARCH(" RAP "," "&amp;SUBSTITUTE($I100,","," ")&amp;" ")),ISNUMBER($L100)),$L100,"")</f>
        <v/>
      </c>
      <c r="AI100" s="16" t="str">
        <f aca="false">IF(AND(ISNUMBER(SEARCH(" AC "," "&amp;SUBSTITUTE($I100,","," ")&amp;" ")),ISNUMBER($L100)),$L100,"")</f>
        <v/>
      </c>
      <c r="AJ100" s="16" t="str">
        <f aca="false">IF(AND(ISNUMBER(SEARCH(" MAC "," "&amp;SUBSTITUTE($I100,","," ")&amp;" ")),ISNUMBER($L100)),$L100,"")</f>
        <v/>
      </c>
      <c r="AK100" s="16" t="str">
        <f aca="false">IF(AND(ISNUMBER(SEARCH(" UAH "," "&amp;SUBSTITUTE($I100,","," ")&amp;" ")),ISNUMBER($L100)),$L100,"")</f>
        <v/>
      </c>
      <c r="AL100" s="16" t="str">
        <f aca="false">IF(AND(ISNUMBER(SEARCH(" RB "," "&amp;SUBSTITUTE($I100,","," ")&amp;" ")),ISNUMBER($L100)),$L100,"")</f>
        <v/>
      </c>
    </row>
    <row r="101" customFormat="false" ht="69" hidden="false" customHeight="true" outlineLevel="0" collapsed="false">
      <c r="A101" s="17" t="s">
        <v>775</v>
      </c>
      <c r="B101" s="18" t="s">
        <v>725</v>
      </c>
      <c r="C101" s="18" t="s">
        <v>726</v>
      </c>
      <c r="D101" s="5" t="s">
        <v>776</v>
      </c>
      <c r="E101" s="5" t="s">
        <v>777</v>
      </c>
      <c r="F101" s="5" t="s">
        <v>778</v>
      </c>
      <c r="G101" s="5" t="s">
        <v>779</v>
      </c>
      <c r="H101" s="5" t="s">
        <v>780</v>
      </c>
      <c r="I101" s="13"/>
      <c r="J101" s="13" t="s">
        <v>52</v>
      </c>
      <c r="K101" s="9" t="n">
        <v>2</v>
      </c>
      <c r="L101" s="9"/>
      <c r="M101" s="13" t="str">
        <f aca="false">IF(ISNUMBER(L101),IF(L101&lt;K101,"Gap","OK"),IF(L101="N/A","N/A",""))</f>
        <v/>
      </c>
      <c r="N101" s="9"/>
      <c r="O101" s="9"/>
      <c r="P101" s="13" t="str">
        <f aca="false">IF(AND(M101="Gap",N101&lt;&gt;"",O101&lt;&gt;""),VLOOKUP(N101&amp;O101,Lists!$H$4:$I$12,2,FALSE()),"")</f>
        <v/>
      </c>
      <c r="Q101" s="13" t="str">
        <f aca="false">IF(AND(M101="Gap",O101="S",OR(N101="H",N101="M")),"Yes","")</f>
        <v/>
      </c>
      <c r="R101" s="9" t="s">
        <v>52</v>
      </c>
      <c r="S101" s="14" t="str">
        <f aca="false">IF(A101="","",IFERROR(IF(OR(VLOOKUP(A101,AutoEvidence!$A$2:$G$400,2,FALSE())="Collected",VLOOKUP(A101,AutoEvidence!$A$2:$G$400,2,FALSE())="Partial"),VLOOKUP(A101,AutoEvidence!$A$2:$G$400,3,FALSE())&amp;" ("&amp;VLOOKUP(A101,AutoEvidence!$A$2:$G$400,2,FALSE())&amp;")",VLOOKUP(A101,AutoEvidence!$A$2:$G$400,2,FALSE())),""))</f>
        <v/>
      </c>
      <c r="T101" s="7" t="str">
        <f aca="false">IF(A101="","",IFERROR(VLOOKUP(A101,AutoEvidence!$A$2:$G$400,4,FALSE())&amp;"",""))</f>
        <v/>
      </c>
      <c r="U101" s="6"/>
      <c r="V101" s="6"/>
      <c r="W101" s="9"/>
      <c r="X101" s="6"/>
      <c r="Y101" s="6"/>
      <c r="Z101" s="9"/>
      <c r="AA101" s="15"/>
      <c r="AB101" s="13" t="str">
        <f aca="false">IF(M101="Gap",1,IF(M101="OK",0,""))</f>
        <v/>
      </c>
      <c r="AC101" s="16" t="str">
        <f aca="false">IF(P101&lt;&gt;"",VALUE(RIGHT(P101,1))*1000+ROW(),"")</f>
        <v/>
      </c>
      <c r="AD101" s="16" t="str">
        <f aca="false">IF(ISNUMBER(L101),MIN(L101,K101),"")</f>
        <v/>
      </c>
      <c r="AE101" s="16" t="str">
        <f aca="false">IF(AND(ISNUMBER(SEARCH(" PA "," "&amp;SUBSTITUTE($I101,","," ")&amp;" ")),ISNUMBER($L101)),$L101,"")</f>
        <v/>
      </c>
      <c r="AF101" s="16" t="str">
        <f aca="false">IF(AND(ISNUMBER(SEARCH(" PO "," "&amp;SUBSTITUTE($I101,","," ")&amp;" ")),ISNUMBER($L101)),$L101,"")</f>
        <v/>
      </c>
      <c r="AG101" s="16" t="str">
        <f aca="false">IF(AND(ISNUMBER(SEARCH(" MFA "," "&amp;SUBSTITUTE($I101,","," ")&amp;" ")),ISNUMBER($L101)),$L101,"")</f>
        <v/>
      </c>
      <c r="AH101" s="16" t="str">
        <f aca="false">IF(AND(ISNUMBER(SEARCH(" RAP "," "&amp;SUBSTITUTE($I101,","," ")&amp;" ")),ISNUMBER($L101)),$L101,"")</f>
        <v/>
      </c>
      <c r="AI101" s="16" t="str">
        <f aca="false">IF(AND(ISNUMBER(SEARCH(" AC "," "&amp;SUBSTITUTE($I101,","," ")&amp;" ")),ISNUMBER($L101)),$L101,"")</f>
        <v/>
      </c>
      <c r="AJ101" s="16" t="str">
        <f aca="false">IF(AND(ISNUMBER(SEARCH(" MAC "," "&amp;SUBSTITUTE($I101,","," ")&amp;" ")),ISNUMBER($L101)),$L101,"")</f>
        <v/>
      </c>
      <c r="AK101" s="16" t="str">
        <f aca="false">IF(AND(ISNUMBER(SEARCH(" UAH "," "&amp;SUBSTITUTE($I101,","," ")&amp;" ")),ISNUMBER($L101)),$L101,"")</f>
        <v/>
      </c>
      <c r="AL101" s="16" t="str">
        <f aca="false">IF(AND(ISNUMBER(SEARCH(" RB "," "&amp;SUBSTITUTE($I101,","," ")&amp;" ")),ISNUMBER($L101)),$L101,"")</f>
        <v/>
      </c>
    </row>
    <row r="102" customFormat="false" ht="55.5" hidden="false" customHeight="true" outlineLevel="0" collapsed="false">
      <c r="A102" s="17" t="s">
        <v>781</v>
      </c>
      <c r="B102" s="18" t="s">
        <v>725</v>
      </c>
      <c r="C102" s="18" t="s">
        <v>726</v>
      </c>
      <c r="D102" s="5" t="s">
        <v>782</v>
      </c>
      <c r="E102" s="5" t="s">
        <v>783</v>
      </c>
      <c r="F102" s="5" t="s">
        <v>784</v>
      </c>
      <c r="G102" s="5" t="s">
        <v>785</v>
      </c>
      <c r="H102" s="5" t="s">
        <v>786</v>
      </c>
      <c r="I102" s="13"/>
      <c r="J102" s="13" t="s">
        <v>50</v>
      </c>
      <c r="K102" s="9" t="n">
        <v>2</v>
      </c>
      <c r="L102" s="9"/>
      <c r="M102" s="13" t="str">
        <f aca="false">IF(ISNUMBER(L102),IF(L102&lt;K102,"Gap","OK"),IF(L102="N/A","N/A",""))</f>
        <v/>
      </c>
      <c r="N102" s="9"/>
      <c r="O102" s="9"/>
      <c r="P102" s="13" t="str">
        <f aca="false">IF(AND(M102="Gap",N102&lt;&gt;"",O102&lt;&gt;""),VLOOKUP(N102&amp;O102,Lists!$H$4:$I$12,2,FALSE()),"")</f>
        <v/>
      </c>
      <c r="Q102" s="13" t="str">
        <f aca="false">IF(AND(M102="Gap",O102="S",OR(N102="H",N102="M")),"Yes","")</f>
        <v/>
      </c>
      <c r="R102" s="9" t="s">
        <v>50</v>
      </c>
      <c r="S102" s="14" t="str">
        <f aca="false">IF(A102="","",IFERROR(IF(OR(VLOOKUP(A102,AutoEvidence!$A$2:$G$400,2,FALSE())="Collected",VLOOKUP(A102,AutoEvidence!$A$2:$G$400,2,FALSE())="Partial"),VLOOKUP(A102,AutoEvidence!$A$2:$G$400,3,FALSE())&amp;" ("&amp;VLOOKUP(A102,AutoEvidence!$A$2:$G$400,2,FALSE())&amp;")",VLOOKUP(A102,AutoEvidence!$A$2:$G$400,2,FALSE())),""))</f>
        <v/>
      </c>
      <c r="T102" s="7" t="str">
        <f aca="false">IF(A102="","",IFERROR(VLOOKUP(A102,AutoEvidence!$A$2:$G$400,4,FALSE())&amp;"",""))</f>
        <v/>
      </c>
      <c r="U102" s="6"/>
      <c r="V102" s="6"/>
      <c r="W102" s="9"/>
      <c r="X102" s="6"/>
      <c r="Y102" s="6"/>
      <c r="Z102" s="9"/>
      <c r="AA102" s="15"/>
      <c r="AB102" s="13" t="str">
        <f aca="false">IF(M102="Gap",1,IF(M102="OK",0,""))</f>
        <v/>
      </c>
      <c r="AC102" s="16" t="str">
        <f aca="false">IF(P102&lt;&gt;"",VALUE(RIGHT(P102,1))*1000+ROW(),"")</f>
        <v/>
      </c>
      <c r="AD102" s="16" t="str">
        <f aca="false">IF(ISNUMBER(L102),MIN(L102,K102),"")</f>
        <v/>
      </c>
      <c r="AE102" s="16" t="str">
        <f aca="false">IF(AND(ISNUMBER(SEARCH(" PA "," "&amp;SUBSTITUTE($I102,","," ")&amp;" ")),ISNUMBER($L102)),$L102,"")</f>
        <v/>
      </c>
      <c r="AF102" s="16" t="str">
        <f aca="false">IF(AND(ISNUMBER(SEARCH(" PO "," "&amp;SUBSTITUTE($I102,","," ")&amp;" ")),ISNUMBER($L102)),$L102,"")</f>
        <v/>
      </c>
      <c r="AG102" s="16" t="str">
        <f aca="false">IF(AND(ISNUMBER(SEARCH(" MFA "," "&amp;SUBSTITUTE($I102,","," ")&amp;" ")),ISNUMBER($L102)),$L102,"")</f>
        <v/>
      </c>
      <c r="AH102" s="16" t="str">
        <f aca="false">IF(AND(ISNUMBER(SEARCH(" RAP "," "&amp;SUBSTITUTE($I102,","," ")&amp;" ")),ISNUMBER($L102)),$L102,"")</f>
        <v/>
      </c>
      <c r="AI102" s="16" t="str">
        <f aca="false">IF(AND(ISNUMBER(SEARCH(" AC "," "&amp;SUBSTITUTE($I102,","," ")&amp;" ")),ISNUMBER($L102)),$L102,"")</f>
        <v/>
      </c>
      <c r="AJ102" s="16" t="str">
        <f aca="false">IF(AND(ISNUMBER(SEARCH(" MAC "," "&amp;SUBSTITUTE($I102,","," ")&amp;" ")),ISNUMBER($L102)),$L102,"")</f>
        <v/>
      </c>
      <c r="AK102" s="16" t="str">
        <f aca="false">IF(AND(ISNUMBER(SEARCH(" UAH "," "&amp;SUBSTITUTE($I102,","," ")&amp;" ")),ISNUMBER($L102)),$L102,"")</f>
        <v/>
      </c>
      <c r="AL102" s="16" t="str">
        <f aca="false">IF(AND(ISNUMBER(SEARCH(" RB "," "&amp;SUBSTITUTE($I102,","," ")&amp;" ")),ISNUMBER($L102)),$L102,"")</f>
        <v/>
      </c>
    </row>
    <row r="103" customFormat="false" ht="55.5" hidden="false" customHeight="true" outlineLevel="0" collapsed="false">
      <c r="A103" s="17" t="s">
        <v>787</v>
      </c>
      <c r="B103" s="18" t="s">
        <v>725</v>
      </c>
      <c r="C103" s="18" t="s">
        <v>726</v>
      </c>
      <c r="D103" s="5" t="s">
        <v>788</v>
      </c>
      <c r="E103" s="5" t="s">
        <v>789</v>
      </c>
      <c r="F103" s="5" t="s">
        <v>790</v>
      </c>
      <c r="G103" s="5" t="s">
        <v>791</v>
      </c>
      <c r="H103" s="5" t="s">
        <v>792</v>
      </c>
      <c r="I103" s="13"/>
      <c r="J103" s="13" t="s">
        <v>50</v>
      </c>
      <c r="K103" s="9" t="n">
        <v>2</v>
      </c>
      <c r="L103" s="9"/>
      <c r="M103" s="13" t="str">
        <f aca="false">IF(ISNUMBER(L103),IF(L103&lt;K103,"Gap","OK"),IF(L103="N/A","N/A",""))</f>
        <v/>
      </c>
      <c r="N103" s="9"/>
      <c r="O103" s="9"/>
      <c r="P103" s="13" t="str">
        <f aca="false">IF(AND(M103="Gap",N103&lt;&gt;"",O103&lt;&gt;""),VLOOKUP(N103&amp;O103,Lists!$H$4:$I$12,2,FALSE()),"")</f>
        <v/>
      </c>
      <c r="Q103" s="13" t="str">
        <f aca="false">IF(AND(M103="Gap",O103="S",OR(N103="H",N103="M")),"Yes","")</f>
        <v/>
      </c>
      <c r="R103" s="9" t="s">
        <v>50</v>
      </c>
      <c r="S103" s="14" t="str">
        <f aca="false">IF(A103="","",IFERROR(IF(OR(VLOOKUP(A103,AutoEvidence!$A$2:$G$400,2,FALSE())="Collected",VLOOKUP(A103,AutoEvidence!$A$2:$G$400,2,FALSE())="Partial"),VLOOKUP(A103,AutoEvidence!$A$2:$G$400,3,FALSE())&amp;" ("&amp;VLOOKUP(A103,AutoEvidence!$A$2:$G$400,2,FALSE())&amp;")",VLOOKUP(A103,AutoEvidence!$A$2:$G$400,2,FALSE())),""))</f>
        <v/>
      </c>
      <c r="T103" s="7" t="str">
        <f aca="false">IF(A103="","",IFERROR(VLOOKUP(A103,AutoEvidence!$A$2:$G$400,4,FALSE())&amp;"",""))</f>
        <v/>
      </c>
      <c r="U103" s="6"/>
      <c r="V103" s="6"/>
      <c r="W103" s="9"/>
      <c r="X103" s="6"/>
      <c r="Y103" s="6"/>
      <c r="Z103" s="9"/>
      <c r="AA103" s="15"/>
      <c r="AB103" s="13" t="str">
        <f aca="false">IF(M103="Gap",1,IF(M103="OK",0,""))</f>
        <v/>
      </c>
      <c r="AC103" s="16" t="str">
        <f aca="false">IF(P103&lt;&gt;"",VALUE(RIGHT(P103,1))*1000+ROW(),"")</f>
        <v/>
      </c>
      <c r="AD103" s="16" t="str">
        <f aca="false">IF(ISNUMBER(L103),MIN(L103,K103),"")</f>
        <v/>
      </c>
      <c r="AE103" s="16" t="str">
        <f aca="false">IF(AND(ISNUMBER(SEARCH(" PA "," "&amp;SUBSTITUTE($I103,","," ")&amp;" ")),ISNUMBER($L103)),$L103,"")</f>
        <v/>
      </c>
      <c r="AF103" s="16" t="str">
        <f aca="false">IF(AND(ISNUMBER(SEARCH(" PO "," "&amp;SUBSTITUTE($I103,","," ")&amp;" ")),ISNUMBER($L103)),$L103,"")</f>
        <v/>
      </c>
      <c r="AG103" s="16" t="str">
        <f aca="false">IF(AND(ISNUMBER(SEARCH(" MFA "," "&amp;SUBSTITUTE($I103,","," ")&amp;" ")),ISNUMBER($L103)),$L103,"")</f>
        <v/>
      </c>
      <c r="AH103" s="16" t="str">
        <f aca="false">IF(AND(ISNUMBER(SEARCH(" RAP "," "&amp;SUBSTITUTE($I103,","," ")&amp;" ")),ISNUMBER($L103)),$L103,"")</f>
        <v/>
      </c>
      <c r="AI103" s="16" t="str">
        <f aca="false">IF(AND(ISNUMBER(SEARCH(" AC "," "&amp;SUBSTITUTE($I103,","," ")&amp;" ")),ISNUMBER($L103)),$L103,"")</f>
        <v/>
      </c>
      <c r="AJ103" s="16" t="str">
        <f aca="false">IF(AND(ISNUMBER(SEARCH(" MAC "," "&amp;SUBSTITUTE($I103,","," ")&amp;" ")),ISNUMBER($L103)),$L103,"")</f>
        <v/>
      </c>
      <c r="AK103" s="16" t="str">
        <f aca="false">IF(AND(ISNUMBER(SEARCH(" UAH "," "&amp;SUBSTITUTE($I103,","," ")&amp;" ")),ISNUMBER($L103)),$L103,"")</f>
        <v/>
      </c>
      <c r="AL103" s="16" t="str">
        <f aca="false">IF(AND(ISNUMBER(SEARCH(" RB "," "&amp;SUBSTITUTE($I103,","," ")&amp;" ")),ISNUMBER($L103)),$L103,"")</f>
        <v/>
      </c>
    </row>
    <row r="104" customFormat="false" ht="69" hidden="false" customHeight="true" outlineLevel="0" collapsed="false">
      <c r="A104" s="17" t="s">
        <v>793</v>
      </c>
      <c r="B104" s="18" t="s">
        <v>725</v>
      </c>
      <c r="C104" s="18" t="s">
        <v>726</v>
      </c>
      <c r="D104" s="5" t="s">
        <v>794</v>
      </c>
      <c r="E104" s="5" t="s">
        <v>795</v>
      </c>
      <c r="F104" s="5" t="s">
        <v>796</v>
      </c>
      <c r="G104" s="5" t="s">
        <v>797</v>
      </c>
      <c r="H104" s="5" t="s">
        <v>798</v>
      </c>
      <c r="I104" s="13" t="s">
        <v>469</v>
      </c>
      <c r="J104" s="13" t="s">
        <v>50</v>
      </c>
      <c r="K104" s="9" t="n">
        <v>2</v>
      </c>
      <c r="L104" s="9"/>
      <c r="M104" s="13" t="str">
        <f aca="false">IF(ISNUMBER(L104),IF(L104&lt;K104,"Gap","OK"),IF(L104="N/A","N/A",""))</f>
        <v/>
      </c>
      <c r="N104" s="9"/>
      <c r="O104" s="9"/>
      <c r="P104" s="13" t="str">
        <f aca="false">IF(AND(M104="Gap",N104&lt;&gt;"",O104&lt;&gt;""),VLOOKUP(N104&amp;O104,Lists!$H$4:$I$12,2,FALSE()),"")</f>
        <v/>
      </c>
      <c r="Q104" s="13" t="str">
        <f aca="false">IF(AND(M104="Gap",O104="S",OR(N104="H",N104="M")),"Yes","")</f>
        <v/>
      </c>
      <c r="R104" s="9" t="s">
        <v>50</v>
      </c>
      <c r="S104" s="14" t="str">
        <f aca="false">IF(A104="","",IFERROR(IF(OR(VLOOKUP(A104,AutoEvidence!$A$2:$G$400,2,FALSE())="Collected",VLOOKUP(A104,AutoEvidence!$A$2:$G$400,2,FALSE())="Partial"),VLOOKUP(A104,AutoEvidence!$A$2:$G$400,3,FALSE())&amp;" ("&amp;VLOOKUP(A104,AutoEvidence!$A$2:$G$400,2,FALSE())&amp;")",VLOOKUP(A104,AutoEvidence!$A$2:$G$400,2,FALSE())),""))</f>
        <v/>
      </c>
      <c r="T104" s="7" t="str">
        <f aca="false">IF(A104="","",IFERROR(VLOOKUP(A104,AutoEvidence!$A$2:$G$400,4,FALSE())&amp;"",""))</f>
        <v/>
      </c>
      <c r="U104" s="6"/>
      <c r="V104" s="6"/>
      <c r="W104" s="9"/>
      <c r="X104" s="6"/>
      <c r="Y104" s="6"/>
      <c r="Z104" s="9"/>
      <c r="AA104" s="15"/>
      <c r="AB104" s="13" t="str">
        <f aca="false">IF(M104="Gap",1,IF(M104="OK",0,""))</f>
        <v/>
      </c>
      <c r="AC104" s="16" t="str">
        <f aca="false">IF(P104&lt;&gt;"",VALUE(RIGHT(P104,1))*1000+ROW(),"")</f>
        <v/>
      </c>
      <c r="AD104" s="16" t="str">
        <f aca="false">IF(ISNUMBER(L104),MIN(L104,K104),"")</f>
        <v/>
      </c>
      <c r="AE104" s="16" t="str">
        <f aca="false">IF(AND(ISNUMBER(SEARCH(" PA "," "&amp;SUBSTITUTE($I104,","," ")&amp;" ")),ISNUMBER($L104)),$L104,"")</f>
        <v/>
      </c>
      <c r="AF104" s="16" t="str">
        <f aca="false">IF(AND(ISNUMBER(SEARCH(" PO "," "&amp;SUBSTITUTE($I104,","," ")&amp;" ")),ISNUMBER($L104)),$L104,"")</f>
        <v/>
      </c>
      <c r="AG104" s="16" t="str">
        <f aca="false">IF(AND(ISNUMBER(SEARCH(" MFA "," "&amp;SUBSTITUTE($I104,","," ")&amp;" ")),ISNUMBER($L104)),$L104,"")</f>
        <v/>
      </c>
      <c r="AH104" s="16" t="str">
        <f aca="false">IF(AND(ISNUMBER(SEARCH(" RAP "," "&amp;SUBSTITUTE($I104,","," ")&amp;" ")),ISNUMBER($L104)),$L104,"")</f>
        <v/>
      </c>
      <c r="AI104" s="16" t="str">
        <f aca="false">IF(AND(ISNUMBER(SEARCH(" AC "," "&amp;SUBSTITUTE($I104,","," ")&amp;" ")),ISNUMBER($L104)),$L104,"")</f>
        <v/>
      </c>
      <c r="AJ104" s="16" t="str">
        <f aca="false">IF(AND(ISNUMBER(SEARCH(" MAC "," "&amp;SUBSTITUTE($I104,","," ")&amp;" ")),ISNUMBER($L104)),$L104,"")</f>
        <v/>
      </c>
      <c r="AK104" s="16" t="str">
        <f aca="false">IF(AND(ISNUMBER(SEARCH(" UAH "," "&amp;SUBSTITUTE($I104,","," ")&amp;" ")),ISNUMBER($L104)),$L104,"")</f>
        <v/>
      </c>
      <c r="AL104" s="16" t="str">
        <f aca="false">IF(AND(ISNUMBER(SEARCH(" RB "," "&amp;SUBSTITUTE($I104,","," ")&amp;" ")),ISNUMBER($L104)),$L104,"")</f>
        <v/>
      </c>
    </row>
    <row r="105" customFormat="false" ht="69" hidden="false" customHeight="true" outlineLevel="0" collapsed="false">
      <c r="A105" s="4" t="s">
        <v>799</v>
      </c>
      <c r="B105" s="5" t="s">
        <v>800</v>
      </c>
      <c r="C105" s="5" t="s">
        <v>801</v>
      </c>
      <c r="D105" s="5" t="s">
        <v>802</v>
      </c>
      <c r="E105" s="5" t="s">
        <v>803</v>
      </c>
      <c r="F105" s="5" t="s">
        <v>804</v>
      </c>
      <c r="G105" s="5" t="s">
        <v>805</v>
      </c>
      <c r="H105" s="5" t="s">
        <v>806</v>
      </c>
      <c r="I105" s="13"/>
      <c r="J105" s="13" t="s">
        <v>46</v>
      </c>
      <c r="K105" s="9" t="n">
        <v>2</v>
      </c>
      <c r="L105" s="9"/>
      <c r="M105" s="13" t="str">
        <f aca="false">IF(ISNUMBER(L105),IF(L105&lt;K105,"Gap","OK"),IF(L105="N/A","N/A",""))</f>
        <v/>
      </c>
      <c r="N105" s="9"/>
      <c r="O105" s="9"/>
      <c r="P105" s="13" t="str">
        <f aca="false">IF(AND(M105="Gap",N105&lt;&gt;"",O105&lt;&gt;""),VLOOKUP(N105&amp;O105,Lists!$H$4:$I$12,2,FALSE()),"")</f>
        <v/>
      </c>
      <c r="Q105" s="13" t="str">
        <f aca="false">IF(AND(M105="Gap",O105="S",OR(N105="H",N105="M")),"Yes","")</f>
        <v/>
      </c>
      <c r="R105" s="9" t="s">
        <v>46</v>
      </c>
      <c r="S105" s="14" t="str">
        <f aca="false">IF(A105="","",IFERROR(IF(OR(VLOOKUP(A105,AutoEvidence!$A$2:$G$400,2,FALSE())="Collected",VLOOKUP(A105,AutoEvidence!$A$2:$G$400,2,FALSE())="Partial"),VLOOKUP(A105,AutoEvidence!$A$2:$G$400,3,FALSE())&amp;" ("&amp;VLOOKUP(A105,AutoEvidence!$A$2:$G$400,2,FALSE())&amp;")",VLOOKUP(A105,AutoEvidence!$A$2:$G$400,2,FALSE())),""))</f>
        <v/>
      </c>
      <c r="T105" s="7" t="str">
        <f aca="false">IF(A105="","",IFERROR(VLOOKUP(A105,AutoEvidence!$A$2:$G$400,4,FALSE())&amp;"",""))</f>
        <v/>
      </c>
      <c r="U105" s="6"/>
      <c r="V105" s="6"/>
      <c r="W105" s="9"/>
      <c r="X105" s="6"/>
      <c r="Y105" s="6"/>
      <c r="Z105" s="9"/>
      <c r="AA105" s="15"/>
      <c r="AB105" s="13" t="str">
        <f aca="false">IF(M105="Gap",1,IF(M105="OK",0,""))</f>
        <v/>
      </c>
      <c r="AC105" s="16" t="str">
        <f aca="false">IF(P105&lt;&gt;"",VALUE(RIGHT(P105,1))*1000+ROW(),"")</f>
        <v/>
      </c>
      <c r="AD105" s="16" t="str">
        <f aca="false">IF(ISNUMBER(L105),MIN(L105,K105),"")</f>
        <v/>
      </c>
      <c r="AE105" s="16" t="str">
        <f aca="false">IF(AND(ISNUMBER(SEARCH(" PA "," "&amp;SUBSTITUTE($I105,","," ")&amp;" ")),ISNUMBER($L105)),$L105,"")</f>
        <v/>
      </c>
      <c r="AF105" s="16" t="str">
        <f aca="false">IF(AND(ISNUMBER(SEARCH(" PO "," "&amp;SUBSTITUTE($I105,","," ")&amp;" ")),ISNUMBER($L105)),$L105,"")</f>
        <v/>
      </c>
      <c r="AG105" s="16" t="str">
        <f aca="false">IF(AND(ISNUMBER(SEARCH(" MFA "," "&amp;SUBSTITUTE($I105,","," ")&amp;" ")),ISNUMBER($L105)),$L105,"")</f>
        <v/>
      </c>
      <c r="AH105" s="16" t="str">
        <f aca="false">IF(AND(ISNUMBER(SEARCH(" RAP "," "&amp;SUBSTITUTE($I105,","," ")&amp;" ")),ISNUMBER($L105)),$L105,"")</f>
        <v/>
      </c>
      <c r="AI105" s="16" t="str">
        <f aca="false">IF(AND(ISNUMBER(SEARCH(" AC "," "&amp;SUBSTITUTE($I105,","," ")&amp;" ")),ISNUMBER($L105)),$L105,"")</f>
        <v/>
      </c>
      <c r="AJ105" s="16" t="str">
        <f aca="false">IF(AND(ISNUMBER(SEARCH(" MAC "," "&amp;SUBSTITUTE($I105,","," ")&amp;" ")),ISNUMBER($L105)),$L105,"")</f>
        <v/>
      </c>
      <c r="AK105" s="16" t="str">
        <f aca="false">IF(AND(ISNUMBER(SEARCH(" UAH "," "&amp;SUBSTITUTE($I105,","," ")&amp;" ")),ISNUMBER($L105)),$L105,"")</f>
        <v/>
      </c>
      <c r="AL105" s="16" t="str">
        <f aca="false">IF(AND(ISNUMBER(SEARCH(" RB "," "&amp;SUBSTITUTE($I105,","," ")&amp;" ")),ISNUMBER($L105)),$L105,"")</f>
        <v/>
      </c>
    </row>
    <row r="106" customFormat="false" ht="69" hidden="false" customHeight="true" outlineLevel="0" collapsed="false">
      <c r="A106" s="4" t="s">
        <v>807</v>
      </c>
      <c r="B106" s="5" t="s">
        <v>800</v>
      </c>
      <c r="C106" s="5" t="s">
        <v>801</v>
      </c>
      <c r="D106" s="5" t="s">
        <v>808</v>
      </c>
      <c r="E106" s="5" t="s">
        <v>809</v>
      </c>
      <c r="F106" s="5" t="s">
        <v>810</v>
      </c>
      <c r="G106" s="5" t="s">
        <v>811</v>
      </c>
      <c r="H106" s="5" t="s">
        <v>812</v>
      </c>
      <c r="I106" s="13" t="s">
        <v>208</v>
      </c>
      <c r="J106" s="13" t="s">
        <v>50</v>
      </c>
      <c r="K106" s="9" t="n">
        <v>2</v>
      </c>
      <c r="L106" s="9"/>
      <c r="M106" s="13" t="str">
        <f aca="false">IF(ISNUMBER(L106),IF(L106&lt;K106,"Gap","OK"),IF(L106="N/A","N/A",""))</f>
        <v/>
      </c>
      <c r="N106" s="9"/>
      <c r="O106" s="9"/>
      <c r="P106" s="13" t="str">
        <f aca="false">IF(AND(M106="Gap",N106&lt;&gt;"",O106&lt;&gt;""),VLOOKUP(N106&amp;O106,Lists!$H$4:$I$12,2,FALSE()),"")</f>
        <v/>
      </c>
      <c r="Q106" s="13" t="str">
        <f aca="false">IF(AND(M106="Gap",O106="S",OR(N106="H",N106="M")),"Yes","")</f>
        <v/>
      </c>
      <c r="R106" s="9" t="s">
        <v>50</v>
      </c>
      <c r="S106" s="14" t="str">
        <f aca="false">IF(A106="","",IFERROR(IF(OR(VLOOKUP(A106,AutoEvidence!$A$2:$G$400,2,FALSE())="Collected",VLOOKUP(A106,AutoEvidence!$A$2:$G$400,2,FALSE())="Partial"),VLOOKUP(A106,AutoEvidence!$A$2:$G$400,3,FALSE())&amp;" ("&amp;VLOOKUP(A106,AutoEvidence!$A$2:$G$400,2,FALSE())&amp;")",VLOOKUP(A106,AutoEvidence!$A$2:$G$400,2,FALSE())),""))</f>
        <v/>
      </c>
      <c r="T106" s="7" t="str">
        <f aca="false">IF(A106="","",IFERROR(VLOOKUP(A106,AutoEvidence!$A$2:$G$400,4,FALSE())&amp;"",""))</f>
        <v/>
      </c>
      <c r="U106" s="6"/>
      <c r="V106" s="6"/>
      <c r="W106" s="9"/>
      <c r="X106" s="6"/>
      <c r="Y106" s="6"/>
      <c r="Z106" s="9"/>
      <c r="AA106" s="15"/>
      <c r="AB106" s="13" t="str">
        <f aca="false">IF(M106="Gap",1,IF(M106="OK",0,""))</f>
        <v/>
      </c>
      <c r="AC106" s="16" t="str">
        <f aca="false">IF(P106&lt;&gt;"",VALUE(RIGHT(P106,1))*1000+ROW(),"")</f>
        <v/>
      </c>
      <c r="AD106" s="16" t="str">
        <f aca="false">IF(ISNUMBER(L106),MIN(L106,K106),"")</f>
        <v/>
      </c>
      <c r="AE106" s="16" t="str">
        <f aca="false">IF(AND(ISNUMBER(SEARCH(" PA "," "&amp;SUBSTITUTE($I106,","," ")&amp;" ")),ISNUMBER($L106)),$L106,"")</f>
        <v/>
      </c>
      <c r="AF106" s="16" t="str">
        <f aca="false">IF(AND(ISNUMBER(SEARCH(" PO "," "&amp;SUBSTITUTE($I106,","," ")&amp;" ")),ISNUMBER($L106)),$L106,"")</f>
        <v/>
      </c>
      <c r="AG106" s="16" t="str">
        <f aca="false">IF(AND(ISNUMBER(SEARCH(" MFA "," "&amp;SUBSTITUTE($I106,","," ")&amp;" ")),ISNUMBER($L106)),$L106,"")</f>
        <v/>
      </c>
      <c r="AH106" s="16" t="str">
        <f aca="false">IF(AND(ISNUMBER(SEARCH(" RAP "," "&amp;SUBSTITUTE($I106,","," ")&amp;" ")),ISNUMBER($L106)),$L106,"")</f>
        <v/>
      </c>
      <c r="AI106" s="16" t="str">
        <f aca="false">IF(AND(ISNUMBER(SEARCH(" AC "," "&amp;SUBSTITUTE($I106,","," ")&amp;" ")),ISNUMBER($L106)),$L106,"")</f>
        <v/>
      </c>
      <c r="AJ106" s="16" t="str">
        <f aca="false">IF(AND(ISNUMBER(SEARCH(" MAC "," "&amp;SUBSTITUTE($I106,","," ")&amp;" ")),ISNUMBER($L106)),$L106,"")</f>
        <v/>
      </c>
      <c r="AK106" s="16" t="str">
        <f aca="false">IF(AND(ISNUMBER(SEARCH(" UAH "," "&amp;SUBSTITUTE($I106,","," ")&amp;" ")),ISNUMBER($L106)),$L106,"")</f>
        <v/>
      </c>
      <c r="AL106" s="16" t="str">
        <f aca="false">IF(AND(ISNUMBER(SEARCH(" RB "," "&amp;SUBSTITUTE($I106,","," ")&amp;" ")),ISNUMBER($L106)),$L106,"")</f>
        <v/>
      </c>
    </row>
    <row r="107" customFormat="false" ht="69" hidden="false" customHeight="true" outlineLevel="0" collapsed="false">
      <c r="A107" s="4" t="s">
        <v>813</v>
      </c>
      <c r="B107" s="5" t="s">
        <v>800</v>
      </c>
      <c r="C107" s="5" t="s">
        <v>801</v>
      </c>
      <c r="D107" s="5" t="s">
        <v>814</v>
      </c>
      <c r="E107" s="5" t="s">
        <v>815</v>
      </c>
      <c r="F107" s="5" t="s">
        <v>816</v>
      </c>
      <c r="G107" s="5" t="s">
        <v>817</v>
      </c>
      <c r="H107" s="5" t="s">
        <v>818</v>
      </c>
      <c r="I107" s="13"/>
      <c r="J107" s="13" t="s">
        <v>50</v>
      </c>
      <c r="K107" s="9" t="n">
        <v>2</v>
      </c>
      <c r="L107" s="9"/>
      <c r="M107" s="13" t="str">
        <f aca="false">IF(ISNUMBER(L107),IF(L107&lt;K107,"Gap","OK"),IF(L107="N/A","N/A",""))</f>
        <v/>
      </c>
      <c r="N107" s="9"/>
      <c r="O107" s="9"/>
      <c r="P107" s="13" t="str">
        <f aca="false">IF(AND(M107="Gap",N107&lt;&gt;"",O107&lt;&gt;""),VLOOKUP(N107&amp;O107,Lists!$H$4:$I$12,2,FALSE()),"")</f>
        <v/>
      </c>
      <c r="Q107" s="13" t="str">
        <f aca="false">IF(AND(M107="Gap",O107="S",OR(N107="H",N107="M")),"Yes","")</f>
        <v/>
      </c>
      <c r="R107" s="9" t="s">
        <v>50</v>
      </c>
      <c r="S107" s="14" t="str">
        <f aca="false">IF(A107="","",IFERROR(IF(OR(VLOOKUP(A107,AutoEvidence!$A$2:$G$400,2,FALSE())="Collected",VLOOKUP(A107,AutoEvidence!$A$2:$G$400,2,FALSE())="Partial"),VLOOKUP(A107,AutoEvidence!$A$2:$G$400,3,FALSE())&amp;" ("&amp;VLOOKUP(A107,AutoEvidence!$A$2:$G$400,2,FALSE())&amp;")",VLOOKUP(A107,AutoEvidence!$A$2:$G$400,2,FALSE())),""))</f>
        <v/>
      </c>
      <c r="T107" s="7" t="str">
        <f aca="false">IF(A107="","",IFERROR(VLOOKUP(A107,AutoEvidence!$A$2:$G$400,4,FALSE())&amp;"",""))</f>
        <v/>
      </c>
      <c r="U107" s="6"/>
      <c r="V107" s="6"/>
      <c r="W107" s="9"/>
      <c r="X107" s="6"/>
      <c r="Y107" s="6"/>
      <c r="Z107" s="9"/>
      <c r="AA107" s="15"/>
      <c r="AB107" s="13" t="str">
        <f aca="false">IF(M107="Gap",1,IF(M107="OK",0,""))</f>
        <v/>
      </c>
      <c r="AC107" s="16" t="str">
        <f aca="false">IF(P107&lt;&gt;"",VALUE(RIGHT(P107,1))*1000+ROW(),"")</f>
        <v/>
      </c>
      <c r="AD107" s="16" t="str">
        <f aca="false">IF(ISNUMBER(L107),MIN(L107,K107),"")</f>
        <v/>
      </c>
      <c r="AE107" s="16" t="str">
        <f aca="false">IF(AND(ISNUMBER(SEARCH(" PA "," "&amp;SUBSTITUTE($I107,","," ")&amp;" ")),ISNUMBER($L107)),$L107,"")</f>
        <v/>
      </c>
      <c r="AF107" s="16" t="str">
        <f aca="false">IF(AND(ISNUMBER(SEARCH(" PO "," "&amp;SUBSTITUTE($I107,","," ")&amp;" ")),ISNUMBER($L107)),$L107,"")</f>
        <v/>
      </c>
      <c r="AG107" s="16" t="str">
        <f aca="false">IF(AND(ISNUMBER(SEARCH(" MFA "," "&amp;SUBSTITUTE($I107,","," ")&amp;" ")),ISNUMBER($L107)),$L107,"")</f>
        <v/>
      </c>
      <c r="AH107" s="16" t="str">
        <f aca="false">IF(AND(ISNUMBER(SEARCH(" RAP "," "&amp;SUBSTITUTE($I107,","," ")&amp;" ")),ISNUMBER($L107)),$L107,"")</f>
        <v/>
      </c>
      <c r="AI107" s="16" t="str">
        <f aca="false">IF(AND(ISNUMBER(SEARCH(" AC "," "&amp;SUBSTITUTE($I107,","," ")&amp;" ")),ISNUMBER($L107)),$L107,"")</f>
        <v/>
      </c>
      <c r="AJ107" s="16" t="str">
        <f aca="false">IF(AND(ISNUMBER(SEARCH(" MAC "," "&amp;SUBSTITUTE($I107,","," ")&amp;" ")),ISNUMBER($L107)),$L107,"")</f>
        <v/>
      </c>
      <c r="AK107" s="16" t="str">
        <f aca="false">IF(AND(ISNUMBER(SEARCH(" UAH "," "&amp;SUBSTITUTE($I107,","," ")&amp;" ")),ISNUMBER($L107)),$L107,"")</f>
        <v/>
      </c>
      <c r="AL107" s="16" t="str">
        <f aca="false">IF(AND(ISNUMBER(SEARCH(" RB "," "&amp;SUBSTITUTE($I107,","," ")&amp;" ")),ISNUMBER($L107)),$L107,"")</f>
        <v/>
      </c>
    </row>
    <row r="108" customFormat="false" ht="81.75" hidden="false" customHeight="true" outlineLevel="0" collapsed="false">
      <c r="A108" s="4" t="s">
        <v>819</v>
      </c>
      <c r="B108" s="5" t="s">
        <v>800</v>
      </c>
      <c r="C108" s="5" t="s">
        <v>801</v>
      </c>
      <c r="D108" s="5" t="s">
        <v>820</v>
      </c>
      <c r="E108" s="5" t="s">
        <v>821</v>
      </c>
      <c r="F108" s="5" t="s">
        <v>822</v>
      </c>
      <c r="G108" s="5" t="s">
        <v>823</v>
      </c>
      <c r="H108" s="5" t="s">
        <v>824</v>
      </c>
      <c r="I108" s="13" t="s">
        <v>239</v>
      </c>
      <c r="J108" s="13" t="s">
        <v>48</v>
      </c>
      <c r="K108" s="9" t="n">
        <v>2</v>
      </c>
      <c r="L108" s="9"/>
      <c r="M108" s="13" t="str">
        <f aca="false">IF(ISNUMBER(L108),IF(L108&lt;K108,"Gap","OK"),IF(L108="N/A","N/A",""))</f>
        <v/>
      </c>
      <c r="N108" s="9"/>
      <c r="O108" s="9"/>
      <c r="P108" s="13" t="str">
        <f aca="false">IF(AND(M108="Gap",N108&lt;&gt;"",O108&lt;&gt;""),VLOOKUP(N108&amp;O108,Lists!$H$4:$I$12,2,FALSE()),"")</f>
        <v/>
      </c>
      <c r="Q108" s="13" t="str">
        <f aca="false">IF(AND(M108="Gap",O108="S",OR(N108="H",N108="M")),"Yes","")</f>
        <v/>
      </c>
      <c r="R108" s="9" t="s">
        <v>48</v>
      </c>
      <c r="S108" s="14" t="str">
        <f aca="false">IF(A108="","",IFERROR(IF(OR(VLOOKUP(A108,AutoEvidence!$A$2:$G$400,2,FALSE())="Collected",VLOOKUP(A108,AutoEvidence!$A$2:$G$400,2,FALSE())="Partial"),VLOOKUP(A108,AutoEvidence!$A$2:$G$400,3,FALSE())&amp;" ("&amp;VLOOKUP(A108,AutoEvidence!$A$2:$G$400,2,FALSE())&amp;")",VLOOKUP(A108,AutoEvidence!$A$2:$G$400,2,FALSE())),""))</f>
        <v/>
      </c>
      <c r="T108" s="7" t="str">
        <f aca="false">IF(A108="","",IFERROR(VLOOKUP(A108,AutoEvidence!$A$2:$G$400,4,FALSE())&amp;"",""))</f>
        <v/>
      </c>
      <c r="U108" s="6"/>
      <c r="V108" s="6"/>
      <c r="W108" s="9"/>
      <c r="X108" s="6"/>
      <c r="Y108" s="6"/>
      <c r="Z108" s="9"/>
      <c r="AA108" s="15"/>
      <c r="AB108" s="13" t="str">
        <f aca="false">IF(M108="Gap",1,IF(M108="OK",0,""))</f>
        <v/>
      </c>
      <c r="AC108" s="16" t="str">
        <f aca="false">IF(P108&lt;&gt;"",VALUE(RIGHT(P108,1))*1000+ROW(),"")</f>
        <v/>
      </c>
      <c r="AD108" s="16" t="str">
        <f aca="false">IF(ISNUMBER(L108),MIN(L108,K108),"")</f>
        <v/>
      </c>
      <c r="AE108" s="16" t="str">
        <f aca="false">IF(AND(ISNUMBER(SEARCH(" PA "," "&amp;SUBSTITUTE($I108,","," ")&amp;" ")),ISNUMBER($L108)),$L108,"")</f>
        <v/>
      </c>
      <c r="AF108" s="16" t="str">
        <f aca="false">IF(AND(ISNUMBER(SEARCH(" PO "," "&amp;SUBSTITUTE($I108,","," ")&amp;" ")),ISNUMBER($L108)),$L108,"")</f>
        <v/>
      </c>
      <c r="AG108" s="16" t="str">
        <f aca="false">IF(AND(ISNUMBER(SEARCH(" MFA "," "&amp;SUBSTITUTE($I108,","," ")&amp;" ")),ISNUMBER($L108)),$L108,"")</f>
        <v/>
      </c>
      <c r="AH108" s="16" t="str">
        <f aca="false">IF(AND(ISNUMBER(SEARCH(" RAP "," "&amp;SUBSTITUTE($I108,","," ")&amp;" ")),ISNUMBER($L108)),$L108,"")</f>
        <v/>
      </c>
      <c r="AI108" s="16" t="str">
        <f aca="false">IF(AND(ISNUMBER(SEARCH(" AC "," "&amp;SUBSTITUTE($I108,","," ")&amp;" ")),ISNUMBER($L108)),$L108,"")</f>
        <v/>
      </c>
      <c r="AJ108" s="16" t="str">
        <f aca="false">IF(AND(ISNUMBER(SEARCH(" MAC "," "&amp;SUBSTITUTE($I108,","," ")&amp;" ")),ISNUMBER($L108)),$L108,"")</f>
        <v/>
      </c>
      <c r="AK108" s="16" t="str">
        <f aca="false">IF(AND(ISNUMBER(SEARCH(" UAH "," "&amp;SUBSTITUTE($I108,","," ")&amp;" ")),ISNUMBER($L108)),$L108,"")</f>
        <v/>
      </c>
      <c r="AL108" s="16" t="str">
        <f aca="false">IF(AND(ISNUMBER(SEARCH(" RB "," "&amp;SUBSTITUTE($I108,","," ")&amp;" ")),ISNUMBER($L108)),$L108,"")</f>
        <v/>
      </c>
    </row>
    <row r="109" customFormat="false" ht="69" hidden="false" customHeight="true" outlineLevel="0" collapsed="false">
      <c r="A109" s="4" t="s">
        <v>825</v>
      </c>
      <c r="B109" s="5" t="s">
        <v>800</v>
      </c>
      <c r="C109" s="5" t="s">
        <v>801</v>
      </c>
      <c r="D109" s="5" t="s">
        <v>826</v>
      </c>
      <c r="E109" s="5" t="s">
        <v>827</v>
      </c>
      <c r="F109" s="5" t="s">
        <v>828</v>
      </c>
      <c r="G109" s="5" t="s">
        <v>829</v>
      </c>
      <c r="H109" s="5" t="s">
        <v>830</v>
      </c>
      <c r="I109" s="13" t="s">
        <v>321</v>
      </c>
      <c r="J109" s="13" t="s">
        <v>48</v>
      </c>
      <c r="K109" s="9" t="n">
        <v>2</v>
      </c>
      <c r="L109" s="9"/>
      <c r="M109" s="13" t="str">
        <f aca="false">IF(ISNUMBER(L109),IF(L109&lt;K109,"Gap","OK"),IF(L109="N/A","N/A",""))</f>
        <v/>
      </c>
      <c r="N109" s="9"/>
      <c r="O109" s="9"/>
      <c r="P109" s="13" t="str">
        <f aca="false">IF(AND(M109="Gap",N109&lt;&gt;"",O109&lt;&gt;""),VLOOKUP(N109&amp;O109,Lists!$H$4:$I$12,2,FALSE()),"")</f>
        <v/>
      </c>
      <c r="Q109" s="13" t="str">
        <f aca="false">IF(AND(M109="Gap",O109="S",OR(N109="H",N109="M")),"Yes","")</f>
        <v/>
      </c>
      <c r="R109" s="9" t="s">
        <v>48</v>
      </c>
      <c r="S109" s="14" t="str">
        <f aca="false">IF(A109="","",IFERROR(IF(OR(VLOOKUP(A109,AutoEvidence!$A$2:$G$400,2,FALSE())="Collected",VLOOKUP(A109,AutoEvidence!$A$2:$G$400,2,FALSE())="Partial"),VLOOKUP(A109,AutoEvidence!$A$2:$G$400,3,FALSE())&amp;" ("&amp;VLOOKUP(A109,AutoEvidence!$A$2:$G$400,2,FALSE())&amp;")",VLOOKUP(A109,AutoEvidence!$A$2:$G$400,2,FALSE())),""))</f>
        <v/>
      </c>
      <c r="T109" s="7" t="str">
        <f aca="false">IF(A109="","",IFERROR(VLOOKUP(A109,AutoEvidence!$A$2:$G$400,4,FALSE())&amp;"",""))</f>
        <v/>
      </c>
      <c r="U109" s="6"/>
      <c r="V109" s="6"/>
      <c r="W109" s="9"/>
      <c r="X109" s="6"/>
      <c r="Y109" s="6"/>
      <c r="Z109" s="9"/>
      <c r="AA109" s="15"/>
      <c r="AB109" s="13" t="str">
        <f aca="false">IF(M109="Gap",1,IF(M109="OK",0,""))</f>
        <v/>
      </c>
      <c r="AC109" s="16" t="str">
        <f aca="false">IF(P109&lt;&gt;"",VALUE(RIGHT(P109,1))*1000+ROW(),"")</f>
        <v/>
      </c>
      <c r="AD109" s="16" t="str">
        <f aca="false">IF(ISNUMBER(L109),MIN(L109,K109),"")</f>
        <v/>
      </c>
      <c r="AE109" s="16" t="str">
        <f aca="false">IF(AND(ISNUMBER(SEARCH(" PA "," "&amp;SUBSTITUTE($I109,","," ")&amp;" ")),ISNUMBER($L109)),$L109,"")</f>
        <v/>
      </c>
      <c r="AF109" s="16" t="str">
        <f aca="false">IF(AND(ISNUMBER(SEARCH(" PO "," "&amp;SUBSTITUTE($I109,","," ")&amp;" ")),ISNUMBER($L109)),$L109,"")</f>
        <v/>
      </c>
      <c r="AG109" s="16" t="str">
        <f aca="false">IF(AND(ISNUMBER(SEARCH(" MFA "," "&amp;SUBSTITUTE($I109,","," ")&amp;" ")),ISNUMBER($L109)),$L109,"")</f>
        <v/>
      </c>
      <c r="AH109" s="16" t="str">
        <f aca="false">IF(AND(ISNUMBER(SEARCH(" RAP "," "&amp;SUBSTITUTE($I109,","," ")&amp;" ")),ISNUMBER($L109)),$L109,"")</f>
        <v/>
      </c>
      <c r="AI109" s="16" t="str">
        <f aca="false">IF(AND(ISNUMBER(SEARCH(" AC "," "&amp;SUBSTITUTE($I109,","," ")&amp;" ")),ISNUMBER($L109)),$L109,"")</f>
        <v/>
      </c>
      <c r="AJ109" s="16" t="str">
        <f aca="false">IF(AND(ISNUMBER(SEARCH(" MAC "," "&amp;SUBSTITUTE($I109,","," ")&amp;" ")),ISNUMBER($L109)),$L109,"")</f>
        <v/>
      </c>
      <c r="AK109" s="16" t="str">
        <f aca="false">IF(AND(ISNUMBER(SEARCH(" UAH "," "&amp;SUBSTITUTE($I109,","," ")&amp;" ")),ISNUMBER($L109)),$L109,"")</f>
        <v/>
      </c>
      <c r="AL109" s="16" t="str">
        <f aca="false">IF(AND(ISNUMBER(SEARCH(" RB "," "&amp;SUBSTITUTE($I109,","," ")&amp;" ")),ISNUMBER($L109)),$L109,"")</f>
        <v/>
      </c>
    </row>
    <row r="110" customFormat="false" ht="69" hidden="false" customHeight="true" outlineLevel="0" collapsed="false">
      <c r="A110" s="4" t="s">
        <v>831</v>
      </c>
      <c r="B110" s="5" t="s">
        <v>800</v>
      </c>
      <c r="C110" s="5" t="s">
        <v>801</v>
      </c>
      <c r="D110" s="5" t="s">
        <v>832</v>
      </c>
      <c r="E110" s="5" t="s">
        <v>833</v>
      </c>
      <c r="F110" s="5" t="s">
        <v>834</v>
      </c>
      <c r="G110" s="5" t="s">
        <v>835</v>
      </c>
      <c r="H110" s="5" t="s">
        <v>836</v>
      </c>
      <c r="I110" s="13"/>
      <c r="J110" s="13" t="s">
        <v>50</v>
      </c>
      <c r="K110" s="9" t="n">
        <v>2</v>
      </c>
      <c r="L110" s="9"/>
      <c r="M110" s="13" t="str">
        <f aca="false">IF(ISNUMBER(L110),IF(L110&lt;K110,"Gap","OK"),IF(L110="N/A","N/A",""))</f>
        <v/>
      </c>
      <c r="N110" s="9"/>
      <c r="O110" s="9"/>
      <c r="P110" s="13" t="str">
        <f aca="false">IF(AND(M110="Gap",N110&lt;&gt;"",O110&lt;&gt;""),VLOOKUP(N110&amp;O110,Lists!$H$4:$I$12,2,FALSE()),"")</f>
        <v/>
      </c>
      <c r="Q110" s="13" t="str">
        <f aca="false">IF(AND(M110="Gap",O110="S",OR(N110="H",N110="M")),"Yes","")</f>
        <v/>
      </c>
      <c r="R110" s="9" t="s">
        <v>50</v>
      </c>
      <c r="S110" s="14" t="str">
        <f aca="false">IF(A110="","",IFERROR(IF(OR(VLOOKUP(A110,AutoEvidence!$A$2:$G$400,2,FALSE())="Collected",VLOOKUP(A110,AutoEvidence!$A$2:$G$400,2,FALSE())="Partial"),VLOOKUP(A110,AutoEvidence!$A$2:$G$400,3,FALSE())&amp;" ("&amp;VLOOKUP(A110,AutoEvidence!$A$2:$G$400,2,FALSE())&amp;")",VLOOKUP(A110,AutoEvidence!$A$2:$G$400,2,FALSE())),""))</f>
        <v/>
      </c>
      <c r="T110" s="7" t="str">
        <f aca="false">IF(A110="","",IFERROR(VLOOKUP(A110,AutoEvidence!$A$2:$G$400,4,FALSE())&amp;"",""))</f>
        <v/>
      </c>
      <c r="U110" s="6"/>
      <c r="V110" s="6"/>
      <c r="W110" s="9"/>
      <c r="X110" s="6"/>
      <c r="Y110" s="6"/>
      <c r="Z110" s="9"/>
      <c r="AA110" s="15"/>
      <c r="AB110" s="13" t="str">
        <f aca="false">IF(M110="Gap",1,IF(M110="OK",0,""))</f>
        <v/>
      </c>
      <c r="AC110" s="16" t="str">
        <f aca="false">IF(P110&lt;&gt;"",VALUE(RIGHT(P110,1))*1000+ROW(),"")</f>
        <v/>
      </c>
      <c r="AD110" s="16" t="str">
        <f aca="false">IF(ISNUMBER(L110),MIN(L110,K110),"")</f>
        <v/>
      </c>
      <c r="AE110" s="16" t="str">
        <f aca="false">IF(AND(ISNUMBER(SEARCH(" PA "," "&amp;SUBSTITUTE($I110,","," ")&amp;" ")),ISNUMBER($L110)),$L110,"")</f>
        <v/>
      </c>
      <c r="AF110" s="16" t="str">
        <f aca="false">IF(AND(ISNUMBER(SEARCH(" PO "," "&amp;SUBSTITUTE($I110,","," ")&amp;" ")),ISNUMBER($L110)),$L110,"")</f>
        <v/>
      </c>
      <c r="AG110" s="16" t="str">
        <f aca="false">IF(AND(ISNUMBER(SEARCH(" MFA "," "&amp;SUBSTITUTE($I110,","," ")&amp;" ")),ISNUMBER($L110)),$L110,"")</f>
        <v/>
      </c>
      <c r="AH110" s="16" t="str">
        <f aca="false">IF(AND(ISNUMBER(SEARCH(" RAP "," "&amp;SUBSTITUTE($I110,","," ")&amp;" ")),ISNUMBER($L110)),$L110,"")</f>
        <v/>
      </c>
      <c r="AI110" s="16" t="str">
        <f aca="false">IF(AND(ISNUMBER(SEARCH(" AC "," "&amp;SUBSTITUTE($I110,","," ")&amp;" ")),ISNUMBER($L110)),$L110,"")</f>
        <v/>
      </c>
      <c r="AJ110" s="16" t="str">
        <f aca="false">IF(AND(ISNUMBER(SEARCH(" MAC "," "&amp;SUBSTITUTE($I110,","," ")&amp;" ")),ISNUMBER($L110)),$L110,"")</f>
        <v/>
      </c>
      <c r="AK110" s="16" t="str">
        <f aca="false">IF(AND(ISNUMBER(SEARCH(" UAH "," "&amp;SUBSTITUTE($I110,","," ")&amp;" ")),ISNUMBER($L110)),$L110,"")</f>
        <v/>
      </c>
      <c r="AL110" s="16" t="str">
        <f aca="false">IF(AND(ISNUMBER(SEARCH(" RB "," "&amp;SUBSTITUTE($I110,","," ")&amp;" ")),ISNUMBER($L110)),$L110,"")</f>
        <v/>
      </c>
    </row>
    <row r="111" customFormat="false" ht="69" hidden="false" customHeight="true" outlineLevel="0" collapsed="false">
      <c r="A111" s="4" t="s">
        <v>837</v>
      </c>
      <c r="B111" s="5" t="s">
        <v>800</v>
      </c>
      <c r="C111" s="5" t="s">
        <v>801</v>
      </c>
      <c r="D111" s="5" t="s">
        <v>838</v>
      </c>
      <c r="E111" s="5" t="s">
        <v>839</v>
      </c>
      <c r="F111" s="5" t="s">
        <v>840</v>
      </c>
      <c r="G111" s="5" t="s">
        <v>841</v>
      </c>
      <c r="H111" s="5" t="s">
        <v>842</v>
      </c>
      <c r="I111" s="13" t="s">
        <v>354</v>
      </c>
      <c r="J111" s="13" t="s">
        <v>46</v>
      </c>
      <c r="K111" s="9" t="n">
        <v>2</v>
      </c>
      <c r="L111" s="9"/>
      <c r="M111" s="13" t="str">
        <f aca="false">IF(ISNUMBER(L111),IF(L111&lt;K111,"Gap","OK"),IF(L111="N/A","N/A",""))</f>
        <v/>
      </c>
      <c r="N111" s="9"/>
      <c r="O111" s="9"/>
      <c r="P111" s="13" t="str">
        <f aca="false">IF(AND(M111="Gap",N111&lt;&gt;"",O111&lt;&gt;""),VLOOKUP(N111&amp;O111,Lists!$H$4:$I$12,2,FALSE()),"")</f>
        <v/>
      </c>
      <c r="Q111" s="13" t="str">
        <f aca="false">IF(AND(M111="Gap",O111="S",OR(N111="H",N111="M")),"Yes","")</f>
        <v/>
      </c>
      <c r="R111" s="9" t="s">
        <v>46</v>
      </c>
      <c r="S111" s="14" t="str">
        <f aca="false">IF(A111="","",IFERROR(IF(OR(VLOOKUP(A111,AutoEvidence!$A$2:$G$400,2,FALSE())="Collected",VLOOKUP(A111,AutoEvidence!$A$2:$G$400,2,FALSE())="Partial"),VLOOKUP(A111,AutoEvidence!$A$2:$G$400,3,FALSE())&amp;" ("&amp;VLOOKUP(A111,AutoEvidence!$A$2:$G$400,2,FALSE())&amp;")",VLOOKUP(A111,AutoEvidence!$A$2:$G$400,2,FALSE())),""))</f>
        <v/>
      </c>
      <c r="T111" s="7" t="str">
        <f aca="false">IF(A111="","",IFERROR(VLOOKUP(A111,AutoEvidence!$A$2:$G$400,4,FALSE())&amp;"",""))</f>
        <v/>
      </c>
      <c r="U111" s="6"/>
      <c r="V111" s="6"/>
      <c r="W111" s="9"/>
      <c r="X111" s="6"/>
      <c r="Y111" s="6"/>
      <c r="Z111" s="9"/>
      <c r="AA111" s="15"/>
      <c r="AB111" s="13" t="str">
        <f aca="false">IF(M111="Gap",1,IF(M111="OK",0,""))</f>
        <v/>
      </c>
      <c r="AC111" s="16" t="str">
        <f aca="false">IF(P111&lt;&gt;"",VALUE(RIGHT(P111,1))*1000+ROW(),"")</f>
        <v/>
      </c>
      <c r="AD111" s="16" t="str">
        <f aca="false">IF(ISNUMBER(L111),MIN(L111,K111),"")</f>
        <v/>
      </c>
      <c r="AE111" s="16" t="str">
        <f aca="false">IF(AND(ISNUMBER(SEARCH(" PA "," "&amp;SUBSTITUTE($I111,","," ")&amp;" ")),ISNUMBER($L111)),$L111,"")</f>
        <v/>
      </c>
      <c r="AF111" s="16" t="str">
        <f aca="false">IF(AND(ISNUMBER(SEARCH(" PO "," "&amp;SUBSTITUTE($I111,","," ")&amp;" ")),ISNUMBER($L111)),$L111,"")</f>
        <v/>
      </c>
      <c r="AG111" s="16" t="str">
        <f aca="false">IF(AND(ISNUMBER(SEARCH(" MFA "," "&amp;SUBSTITUTE($I111,","," ")&amp;" ")),ISNUMBER($L111)),$L111,"")</f>
        <v/>
      </c>
      <c r="AH111" s="16" t="str">
        <f aca="false">IF(AND(ISNUMBER(SEARCH(" RAP "," "&amp;SUBSTITUTE($I111,","," ")&amp;" ")),ISNUMBER($L111)),$L111,"")</f>
        <v/>
      </c>
      <c r="AI111" s="16" t="str">
        <f aca="false">IF(AND(ISNUMBER(SEARCH(" AC "," "&amp;SUBSTITUTE($I111,","," ")&amp;" ")),ISNUMBER($L111)),$L111,"")</f>
        <v/>
      </c>
      <c r="AJ111" s="16" t="str">
        <f aca="false">IF(AND(ISNUMBER(SEARCH(" MAC "," "&amp;SUBSTITUTE($I111,","," ")&amp;" ")),ISNUMBER($L111)),$L111,"")</f>
        <v/>
      </c>
      <c r="AK111" s="16" t="str">
        <f aca="false">IF(AND(ISNUMBER(SEARCH(" UAH "," "&amp;SUBSTITUTE($I111,","," ")&amp;" ")),ISNUMBER($L111)),$L111,"")</f>
        <v/>
      </c>
      <c r="AL111" s="16" t="str">
        <f aca="false">IF(AND(ISNUMBER(SEARCH(" RB "," "&amp;SUBSTITUTE($I111,","," ")&amp;" ")),ISNUMBER($L111)),$L111,"")</f>
        <v/>
      </c>
    </row>
    <row r="112" customFormat="false" ht="69" hidden="false" customHeight="true" outlineLevel="0" collapsed="false">
      <c r="A112" s="4" t="s">
        <v>843</v>
      </c>
      <c r="B112" s="5" t="s">
        <v>800</v>
      </c>
      <c r="C112" s="5" t="s">
        <v>801</v>
      </c>
      <c r="D112" s="5" t="s">
        <v>844</v>
      </c>
      <c r="E112" s="5" t="s">
        <v>845</v>
      </c>
      <c r="F112" s="5" t="s">
        <v>846</v>
      </c>
      <c r="G112" s="5" t="s">
        <v>847</v>
      </c>
      <c r="H112" s="5" t="s">
        <v>848</v>
      </c>
      <c r="I112" s="13" t="s">
        <v>849</v>
      </c>
      <c r="J112" s="13" t="s">
        <v>50</v>
      </c>
      <c r="K112" s="9" t="n">
        <v>2</v>
      </c>
      <c r="L112" s="9"/>
      <c r="M112" s="13" t="str">
        <f aca="false">IF(ISNUMBER(L112),IF(L112&lt;K112,"Gap","OK"),IF(L112="N/A","N/A",""))</f>
        <v/>
      </c>
      <c r="N112" s="9"/>
      <c r="O112" s="9"/>
      <c r="P112" s="13" t="str">
        <f aca="false">IF(AND(M112="Gap",N112&lt;&gt;"",O112&lt;&gt;""),VLOOKUP(N112&amp;O112,Lists!$H$4:$I$12,2,FALSE()),"")</f>
        <v/>
      </c>
      <c r="Q112" s="13" t="str">
        <f aca="false">IF(AND(M112="Gap",O112="S",OR(N112="H",N112="M")),"Yes","")</f>
        <v/>
      </c>
      <c r="R112" s="9" t="s">
        <v>50</v>
      </c>
      <c r="S112" s="14" t="str">
        <f aca="false">IF(A112="","",IFERROR(IF(OR(VLOOKUP(A112,AutoEvidence!$A$2:$G$400,2,FALSE())="Collected",VLOOKUP(A112,AutoEvidence!$A$2:$G$400,2,FALSE())="Partial"),VLOOKUP(A112,AutoEvidence!$A$2:$G$400,3,FALSE())&amp;" ("&amp;VLOOKUP(A112,AutoEvidence!$A$2:$G$400,2,FALSE())&amp;")",VLOOKUP(A112,AutoEvidence!$A$2:$G$400,2,FALSE())),""))</f>
        <v/>
      </c>
      <c r="T112" s="7" t="str">
        <f aca="false">IF(A112="","",IFERROR(VLOOKUP(A112,AutoEvidence!$A$2:$G$400,4,FALSE())&amp;"",""))</f>
        <v/>
      </c>
      <c r="U112" s="6"/>
      <c r="V112" s="6"/>
      <c r="W112" s="9"/>
      <c r="X112" s="6"/>
      <c r="Y112" s="6"/>
      <c r="Z112" s="9"/>
      <c r="AA112" s="15"/>
      <c r="AB112" s="13" t="str">
        <f aca="false">IF(M112="Gap",1,IF(M112="OK",0,""))</f>
        <v/>
      </c>
      <c r="AC112" s="16" t="str">
        <f aca="false">IF(P112&lt;&gt;"",VALUE(RIGHT(P112,1))*1000+ROW(),"")</f>
        <v/>
      </c>
      <c r="AD112" s="16" t="str">
        <f aca="false">IF(ISNUMBER(L112),MIN(L112,K112),"")</f>
        <v/>
      </c>
      <c r="AE112" s="16" t="str">
        <f aca="false">IF(AND(ISNUMBER(SEARCH(" PA "," "&amp;SUBSTITUTE($I112,","," ")&amp;" ")),ISNUMBER($L112)),$L112,"")</f>
        <v/>
      </c>
      <c r="AF112" s="16" t="str">
        <f aca="false">IF(AND(ISNUMBER(SEARCH(" PO "," "&amp;SUBSTITUTE($I112,","," ")&amp;" ")),ISNUMBER($L112)),$L112,"")</f>
        <v/>
      </c>
      <c r="AG112" s="16" t="str">
        <f aca="false">IF(AND(ISNUMBER(SEARCH(" MFA "," "&amp;SUBSTITUTE($I112,","," ")&amp;" ")),ISNUMBER($L112)),$L112,"")</f>
        <v/>
      </c>
      <c r="AH112" s="16" t="str">
        <f aca="false">IF(AND(ISNUMBER(SEARCH(" RAP "," "&amp;SUBSTITUTE($I112,","," ")&amp;" ")),ISNUMBER($L112)),$L112,"")</f>
        <v/>
      </c>
      <c r="AI112" s="16" t="str">
        <f aca="false">IF(AND(ISNUMBER(SEARCH(" AC "," "&amp;SUBSTITUTE($I112,","," ")&amp;" ")),ISNUMBER($L112)),$L112,"")</f>
        <v/>
      </c>
      <c r="AJ112" s="16" t="str">
        <f aca="false">IF(AND(ISNUMBER(SEARCH(" MAC "," "&amp;SUBSTITUTE($I112,","," ")&amp;" ")),ISNUMBER($L112)),$L112,"")</f>
        <v/>
      </c>
      <c r="AK112" s="16" t="str">
        <f aca="false">IF(AND(ISNUMBER(SEARCH(" UAH "," "&amp;SUBSTITUTE($I112,","," ")&amp;" ")),ISNUMBER($L112)),$L112,"")</f>
        <v/>
      </c>
      <c r="AL112" s="16" t="str">
        <f aca="false">IF(AND(ISNUMBER(SEARCH(" RB "," "&amp;SUBSTITUTE($I112,","," ")&amp;" ")),ISNUMBER($L112)),$L112,"")</f>
        <v/>
      </c>
    </row>
    <row r="113" customFormat="false" ht="69" hidden="false" customHeight="true" outlineLevel="0" collapsed="false">
      <c r="A113" s="17" t="s">
        <v>850</v>
      </c>
      <c r="B113" s="18" t="s">
        <v>851</v>
      </c>
      <c r="C113" s="18" t="s">
        <v>852</v>
      </c>
      <c r="D113" s="5" t="s">
        <v>853</v>
      </c>
      <c r="E113" s="5" t="s">
        <v>854</v>
      </c>
      <c r="F113" s="5" t="s">
        <v>855</v>
      </c>
      <c r="G113" s="5" t="s">
        <v>856</v>
      </c>
      <c r="H113" s="5" t="s">
        <v>857</v>
      </c>
      <c r="I113" s="13"/>
      <c r="J113" s="13" t="s">
        <v>46</v>
      </c>
      <c r="K113" s="9" t="n">
        <v>2</v>
      </c>
      <c r="L113" s="9"/>
      <c r="M113" s="13" t="str">
        <f aca="false">IF(ISNUMBER(L113),IF(L113&lt;K113,"Gap","OK"),IF(L113="N/A","N/A",""))</f>
        <v/>
      </c>
      <c r="N113" s="9"/>
      <c r="O113" s="9"/>
      <c r="P113" s="13" t="str">
        <f aca="false">IF(AND(M113="Gap",N113&lt;&gt;"",O113&lt;&gt;""),VLOOKUP(N113&amp;O113,Lists!$H$4:$I$12,2,FALSE()),"")</f>
        <v/>
      </c>
      <c r="Q113" s="13" t="str">
        <f aca="false">IF(AND(M113="Gap",O113="S",OR(N113="H",N113="M")),"Yes","")</f>
        <v/>
      </c>
      <c r="R113" s="9" t="s">
        <v>46</v>
      </c>
      <c r="S113" s="14" t="str">
        <f aca="false">IF(A113="","",IFERROR(IF(OR(VLOOKUP(A113,AutoEvidence!$A$2:$G$400,2,FALSE())="Collected",VLOOKUP(A113,AutoEvidence!$A$2:$G$400,2,FALSE())="Partial"),VLOOKUP(A113,AutoEvidence!$A$2:$G$400,3,FALSE())&amp;" ("&amp;VLOOKUP(A113,AutoEvidence!$A$2:$G$400,2,FALSE())&amp;")",VLOOKUP(A113,AutoEvidence!$A$2:$G$400,2,FALSE())),""))</f>
        <v/>
      </c>
      <c r="T113" s="7" t="str">
        <f aca="false">IF(A113="","",IFERROR(VLOOKUP(A113,AutoEvidence!$A$2:$G$400,4,FALSE())&amp;"",""))</f>
        <v/>
      </c>
      <c r="U113" s="6"/>
      <c r="V113" s="6"/>
      <c r="W113" s="9"/>
      <c r="X113" s="6"/>
      <c r="Y113" s="6"/>
      <c r="Z113" s="9"/>
      <c r="AA113" s="15"/>
      <c r="AB113" s="13" t="str">
        <f aca="false">IF(M113="Gap",1,IF(M113="OK",0,""))</f>
        <v/>
      </c>
      <c r="AC113" s="16" t="str">
        <f aca="false">IF(P113&lt;&gt;"",VALUE(RIGHT(P113,1))*1000+ROW(),"")</f>
        <v/>
      </c>
      <c r="AD113" s="16" t="str">
        <f aca="false">IF(ISNUMBER(L113),MIN(L113,K113),"")</f>
        <v/>
      </c>
      <c r="AE113" s="16" t="str">
        <f aca="false">IF(AND(ISNUMBER(SEARCH(" PA "," "&amp;SUBSTITUTE($I113,","," ")&amp;" ")),ISNUMBER($L113)),$L113,"")</f>
        <v/>
      </c>
      <c r="AF113" s="16" t="str">
        <f aca="false">IF(AND(ISNUMBER(SEARCH(" PO "," "&amp;SUBSTITUTE($I113,","," ")&amp;" ")),ISNUMBER($L113)),$L113,"")</f>
        <v/>
      </c>
      <c r="AG113" s="16" t="str">
        <f aca="false">IF(AND(ISNUMBER(SEARCH(" MFA "," "&amp;SUBSTITUTE($I113,","," ")&amp;" ")),ISNUMBER($L113)),$L113,"")</f>
        <v/>
      </c>
      <c r="AH113" s="16" t="str">
        <f aca="false">IF(AND(ISNUMBER(SEARCH(" RAP "," "&amp;SUBSTITUTE($I113,","," ")&amp;" ")),ISNUMBER($L113)),$L113,"")</f>
        <v/>
      </c>
      <c r="AI113" s="16" t="str">
        <f aca="false">IF(AND(ISNUMBER(SEARCH(" AC "," "&amp;SUBSTITUTE($I113,","," ")&amp;" ")),ISNUMBER($L113)),$L113,"")</f>
        <v/>
      </c>
      <c r="AJ113" s="16" t="str">
        <f aca="false">IF(AND(ISNUMBER(SEARCH(" MAC "," "&amp;SUBSTITUTE($I113,","," ")&amp;" ")),ISNUMBER($L113)),$L113,"")</f>
        <v/>
      </c>
      <c r="AK113" s="16" t="str">
        <f aca="false">IF(AND(ISNUMBER(SEARCH(" UAH "," "&amp;SUBSTITUTE($I113,","," ")&amp;" ")),ISNUMBER($L113)),$L113,"")</f>
        <v/>
      </c>
      <c r="AL113" s="16" t="str">
        <f aca="false">IF(AND(ISNUMBER(SEARCH(" RB "," "&amp;SUBSTITUTE($I113,","," ")&amp;" ")),ISNUMBER($L113)),$L113,"")</f>
        <v/>
      </c>
    </row>
    <row r="114" customFormat="false" ht="42.75" hidden="false" customHeight="true" outlineLevel="0" collapsed="false">
      <c r="A114" s="17" t="s">
        <v>858</v>
      </c>
      <c r="B114" s="18" t="s">
        <v>851</v>
      </c>
      <c r="C114" s="18" t="s">
        <v>852</v>
      </c>
      <c r="D114" s="5" t="s">
        <v>859</v>
      </c>
      <c r="E114" s="5" t="s">
        <v>860</v>
      </c>
      <c r="F114" s="5" t="s">
        <v>861</v>
      </c>
      <c r="G114" s="5" t="s">
        <v>862</v>
      </c>
      <c r="H114" s="5" t="s">
        <v>863</v>
      </c>
      <c r="I114" s="13"/>
      <c r="J114" s="13" t="s">
        <v>46</v>
      </c>
      <c r="K114" s="9" t="n">
        <v>2</v>
      </c>
      <c r="L114" s="9"/>
      <c r="M114" s="13" t="str">
        <f aca="false">IF(ISNUMBER(L114),IF(L114&lt;K114,"Gap","OK"),IF(L114="N/A","N/A",""))</f>
        <v/>
      </c>
      <c r="N114" s="9"/>
      <c r="O114" s="9"/>
      <c r="P114" s="13" t="str">
        <f aca="false">IF(AND(M114="Gap",N114&lt;&gt;"",O114&lt;&gt;""),VLOOKUP(N114&amp;O114,Lists!$H$4:$I$12,2,FALSE()),"")</f>
        <v/>
      </c>
      <c r="Q114" s="13" t="str">
        <f aca="false">IF(AND(M114="Gap",O114="S",OR(N114="H",N114="M")),"Yes","")</f>
        <v/>
      </c>
      <c r="R114" s="9" t="s">
        <v>46</v>
      </c>
      <c r="S114" s="14" t="str">
        <f aca="false">IF(A114="","",IFERROR(IF(OR(VLOOKUP(A114,AutoEvidence!$A$2:$G$400,2,FALSE())="Collected",VLOOKUP(A114,AutoEvidence!$A$2:$G$400,2,FALSE())="Partial"),VLOOKUP(A114,AutoEvidence!$A$2:$G$400,3,FALSE())&amp;" ("&amp;VLOOKUP(A114,AutoEvidence!$A$2:$G$400,2,FALSE())&amp;")",VLOOKUP(A114,AutoEvidence!$A$2:$G$400,2,FALSE())),""))</f>
        <v/>
      </c>
      <c r="T114" s="7" t="str">
        <f aca="false">IF(A114="","",IFERROR(VLOOKUP(A114,AutoEvidence!$A$2:$G$400,4,FALSE())&amp;"",""))</f>
        <v/>
      </c>
      <c r="U114" s="6"/>
      <c r="V114" s="6"/>
      <c r="W114" s="9"/>
      <c r="X114" s="6"/>
      <c r="Y114" s="6"/>
      <c r="Z114" s="9"/>
      <c r="AA114" s="15"/>
      <c r="AB114" s="13" t="str">
        <f aca="false">IF(M114="Gap",1,IF(M114="OK",0,""))</f>
        <v/>
      </c>
      <c r="AC114" s="16" t="str">
        <f aca="false">IF(P114&lt;&gt;"",VALUE(RIGHT(P114,1))*1000+ROW(),"")</f>
        <v/>
      </c>
      <c r="AD114" s="16" t="str">
        <f aca="false">IF(ISNUMBER(L114),MIN(L114,K114),"")</f>
        <v/>
      </c>
      <c r="AE114" s="16" t="str">
        <f aca="false">IF(AND(ISNUMBER(SEARCH(" PA "," "&amp;SUBSTITUTE($I114,","," ")&amp;" ")),ISNUMBER($L114)),$L114,"")</f>
        <v/>
      </c>
      <c r="AF114" s="16" t="str">
        <f aca="false">IF(AND(ISNUMBER(SEARCH(" PO "," "&amp;SUBSTITUTE($I114,","," ")&amp;" ")),ISNUMBER($L114)),$L114,"")</f>
        <v/>
      </c>
      <c r="AG114" s="16" t="str">
        <f aca="false">IF(AND(ISNUMBER(SEARCH(" MFA "," "&amp;SUBSTITUTE($I114,","," ")&amp;" ")),ISNUMBER($L114)),$L114,"")</f>
        <v/>
      </c>
      <c r="AH114" s="16" t="str">
        <f aca="false">IF(AND(ISNUMBER(SEARCH(" RAP "," "&amp;SUBSTITUTE($I114,","," ")&amp;" ")),ISNUMBER($L114)),$L114,"")</f>
        <v/>
      </c>
      <c r="AI114" s="16" t="str">
        <f aca="false">IF(AND(ISNUMBER(SEARCH(" AC "," "&amp;SUBSTITUTE($I114,","," ")&amp;" ")),ISNUMBER($L114)),$L114,"")</f>
        <v/>
      </c>
      <c r="AJ114" s="16" t="str">
        <f aca="false">IF(AND(ISNUMBER(SEARCH(" MAC "," "&amp;SUBSTITUTE($I114,","," ")&amp;" ")),ISNUMBER($L114)),$L114,"")</f>
        <v/>
      </c>
      <c r="AK114" s="16" t="str">
        <f aca="false">IF(AND(ISNUMBER(SEARCH(" UAH "," "&amp;SUBSTITUTE($I114,","," ")&amp;" ")),ISNUMBER($L114)),$L114,"")</f>
        <v/>
      </c>
      <c r="AL114" s="16" t="str">
        <f aca="false">IF(AND(ISNUMBER(SEARCH(" RB "," "&amp;SUBSTITUTE($I114,","," ")&amp;" ")),ISNUMBER($L114)),$L114,"")</f>
        <v/>
      </c>
    </row>
    <row r="115" customFormat="false" ht="55.5" hidden="false" customHeight="true" outlineLevel="0" collapsed="false">
      <c r="A115" s="17" t="s">
        <v>864</v>
      </c>
      <c r="B115" s="18" t="s">
        <v>851</v>
      </c>
      <c r="C115" s="18" t="s">
        <v>852</v>
      </c>
      <c r="D115" s="5" t="s">
        <v>865</v>
      </c>
      <c r="E115" s="5" t="s">
        <v>866</v>
      </c>
      <c r="F115" s="5" t="s">
        <v>867</v>
      </c>
      <c r="G115" s="5" t="s">
        <v>868</v>
      </c>
      <c r="H115" s="5" t="s">
        <v>869</v>
      </c>
      <c r="I115" s="13" t="s">
        <v>208</v>
      </c>
      <c r="J115" s="13" t="s">
        <v>46</v>
      </c>
      <c r="K115" s="9" t="n">
        <v>2</v>
      </c>
      <c r="L115" s="9"/>
      <c r="M115" s="13" t="str">
        <f aca="false">IF(ISNUMBER(L115),IF(L115&lt;K115,"Gap","OK"),IF(L115="N/A","N/A",""))</f>
        <v/>
      </c>
      <c r="N115" s="9"/>
      <c r="O115" s="9"/>
      <c r="P115" s="13" t="str">
        <f aca="false">IF(AND(M115="Gap",N115&lt;&gt;"",O115&lt;&gt;""),VLOOKUP(N115&amp;O115,Lists!$H$4:$I$12,2,FALSE()),"")</f>
        <v/>
      </c>
      <c r="Q115" s="13" t="str">
        <f aca="false">IF(AND(M115="Gap",O115="S",OR(N115="H",N115="M")),"Yes","")</f>
        <v/>
      </c>
      <c r="R115" s="9" t="s">
        <v>46</v>
      </c>
      <c r="S115" s="14" t="str">
        <f aca="false">IF(A115="","",IFERROR(IF(OR(VLOOKUP(A115,AutoEvidence!$A$2:$G$400,2,FALSE())="Collected",VLOOKUP(A115,AutoEvidence!$A$2:$G$400,2,FALSE())="Partial"),VLOOKUP(A115,AutoEvidence!$A$2:$G$400,3,FALSE())&amp;" ("&amp;VLOOKUP(A115,AutoEvidence!$A$2:$G$400,2,FALSE())&amp;")",VLOOKUP(A115,AutoEvidence!$A$2:$G$400,2,FALSE())),""))</f>
        <v/>
      </c>
      <c r="T115" s="7" t="str">
        <f aca="false">IF(A115="","",IFERROR(VLOOKUP(A115,AutoEvidence!$A$2:$G$400,4,FALSE())&amp;"",""))</f>
        <v/>
      </c>
      <c r="U115" s="6"/>
      <c r="V115" s="6"/>
      <c r="W115" s="9"/>
      <c r="X115" s="6"/>
      <c r="Y115" s="6"/>
      <c r="Z115" s="9"/>
      <c r="AA115" s="15"/>
      <c r="AB115" s="13" t="str">
        <f aca="false">IF(M115="Gap",1,IF(M115="OK",0,""))</f>
        <v/>
      </c>
      <c r="AC115" s="16" t="str">
        <f aca="false">IF(P115&lt;&gt;"",VALUE(RIGHT(P115,1))*1000+ROW(),"")</f>
        <v/>
      </c>
      <c r="AD115" s="16" t="str">
        <f aca="false">IF(ISNUMBER(L115),MIN(L115,K115),"")</f>
        <v/>
      </c>
      <c r="AE115" s="16" t="str">
        <f aca="false">IF(AND(ISNUMBER(SEARCH(" PA "," "&amp;SUBSTITUTE($I115,","," ")&amp;" ")),ISNUMBER($L115)),$L115,"")</f>
        <v/>
      </c>
      <c r="AF115" s="16" t="str">
        <f aca="false">IF(AND(ISNUMBER(SEARCH(" PO "," "&amp;SUBSTITUTE($I115,","," ")&amp;" ")),ISNUMBER($L115)),$L115,"")</f>
        <v/>
      </c>
      <c r="AG115" s="16" t="str">
        <f aca="false">IF(AND(ISNUMBER(SEARCH(" MFA "," "&amp;SUBSTITUTE($I115,","," ")&amp;" ")),ISNUMBER($L115)),$L115,"")</f>
        <v/>
      </c>
      <c r="AH115" s="16" t="str">
        <f aca="false">IF(AND(ISNUMBER(SEARCH(" RAP "," "&amp;SUBSTITUTE($I115,","," ")&amp;" ")),ISNUMBER($L115)),$L115,"")</f>
        <v/>
      </c>
      <c r="AI115" s="16" t="str">
        <f aca="false">IF(AND(ISNUMBER(SEARCH(" AC "," "&amp;SUBSTITUTE($I115,","," ")&amp;" ")),ISNUMBER($L115)),$L115,"")</f>
        <v/>
      </c>
      <c r="AJ115" s="16" t="str">
        <f aca="false">IF(AND(ISNUMBER(SEARCH(" MAC "," "&amp;SUBSTITUTE($I115,","," ")&amp;" ")),ISNUMBER($L115)),$L115,"")</f>
        <v/>
      </c>
      <c r="AK115" s="16" t="str">
        <f aca="false">IF(AND(ISNUMBER(SEARCH(" UAH "," "&amp;SUBSTITUTE($I115,","," ")&amp;" ")),ISNUMBER($L115)),$L115,"")</f>
        <v/>
      </c>
      <c r="AL115" s="16" t="str">
        <f aca="false">IF(AND(ISNUMBER(SEARCH(" RB "," "&amp;SUBSTITUTE($I115,","," ")&amp;" ")),ISNUMBER($L115)),$L115,"")</f>
        <v/>
      </c>
    </row>
    <row r="116" customFormat="false" ht="55.5" hidden="false" customHeight="true" outlineLevel="0" collapsed="false">
      <c r="A116" s="17" t="s">
        <v>870</v>
      </c>
      <c r="B116" s="18" t="s">
        <v>851</v>
      </c>
      <c r="C116" s="18" t="s">
        <v>852</v>
      </c>
      <c r="D116" s="5" t="s">
        <v>871</v>
      </c>
      <c r="E116" s="5" t="s">
        <v>872</v>
      </c>
      <c r="F116" s="5" t="s">
        <v>873</v>
      </c>
      <c r="G116" s="5" t="s">
        <v>874</v>
      </c>
      <c r="H116" s="5" t="s">
        <v>875</v>
      </c>
      <c r="I116" s="13"/>
      <c r="J116" s="13" t="s">
        <v>46</v>
      </c>
      <c r="K116" s="9" t="n">
        <v>2</v>
      </c>
      <c r="L116" s="9"/>
      <c r="M116" s="13" t="str">
        <f aca="false">IF(ISNUMBER(L116),IF(L116&lt;K116,"Gap","OK"),IF(L116="N/A","N/A",""))</f>
        <v/>
      </c>
      <c r="N116" s="9"/>
      <c r="O116" s="9"/>
      <c r="P116" s="13" t="str">
        <f aca="false">IF(AND(M116="Gap",N116&lt;&gt;"",O116&lt;&gt;""),VLOOKUP(N116&amp;O116,Lists!$H$4:$I$12,2,FALSE()),"")</f>
        <v/>
      </c>
      <c r="Q116" s="13" t="str">
        <f aca="false">IF(AND(M116="Gap",O116="S",OR(N116="H",N116="M")),"Yes","")</f>
        <v/>
      </c>
      <c r="R116" s="9" t="s">
        <v>46</v>
      </c>
      <c r="S116" s="14" t="str">
        <f aca="false">IF(A116="","",IFERROR(IF(OR(VLOOKUP(A116,AutoEvidence!$A$2:$G$400,2,FALSE())="Collected",VLOOKUP(A116,AutoEvidence!$A$2:$G$400,2,FALSE())="Partial"),VLOOKUP(A116,AutoEvidence!$A$2:$G$400,3,FALSE())&amp;" ("&amp;VLOOKUP(A116,AutoEvidence!$A$2:$G$400,2,FALSE())&amp;")",VLOOKUP(A116,AutoEvidence!$A$2:$G$400,2,FALSE())),""))</f>
        <v/>
      </c>
      <c r="T116" s="7" t="str">
        <f aca="false">IF(A116="","",IFERROR(VLOOKUP(A116,AutoEvidence!$A$2:$G$400,4,FALSE())&amp;"",""))</f>
        <v/>
      </c>
      <c r="U116" s="6"/>
      <c r="V116" s="6"/>
      <c r="W116" s="9"/>
      <c r="X116" s="6"/>
      <c r="Y116" s="6"/>
      <c r="Z116" s="9"/>
      <c r="AA116" s="15"/>
      <c r="AB116" s="13" t="str">
        <f aca="false">IF(M116="Gap",1,IF(M116="OK",0,""))</f>
        <v/>
      </c>
      <c r="AC116" s="16" t="str">
        <f aca="false">IF(P116&lt;&gt;"",VALUE(RIGHT(P116,1))*1000+ROW(),"")</f>
        <v/>
      </c>
      <c r="AD116" s="16" t="str">
        <f aca="false">IF(ISNUMBER(L116),MIN(L116,K116),"")</f>
        <v/>
      </c>
      <c r="AE116" s="16" t="str">
        <f aca="false">IF(AND(ISNUMBER(SEARCH(" PA "," "&amp;SUBSTITUTE($I116,","," ")&amp;" ")),ISNUMBER($L116)),$L116,"")</f>
        <v/>
      </c>
      <c r="AF116" s="16" t="str">
        <f aca="false">IF(AND(ISNUMBER(SEARCH(" PO "," "&amp;SUBSTITUTE($I116,","," ")&amp;" ")),ISNUMBER($L116)),$L116,"")</f>
        <v/>
      </c>
      <c r="AG116" s="16" t="str">
        <f aca="false">IF(AND(ISNUMBER(SEARCH(" MFA "," "&amp;SUBSTITUTE($I116,","," ")&amp;" ")),ISNUMBER($L116)),$L116,"")</f>
        <v/>
      </c>
      <c r="AH116" s="16" t="str">
        <f aca="false">IF(AND(ISNUMBER(SEARCH(" RAP "," "&amp;SUBSTITUTE($I116,","," ")&amp;" ")),ISNUMBER($L116)),$L116,"")</f>
        <v/>
      </c>
      <c r="AI116" s="16" t="str">
        <f aca="false">IF(AND(ISNUMBER(SEARCH(" AC "," "&amp;SUBSTITUTE($I116,","," ")&amp;" ")),ISNUMBER($L116)),$L116,"")</f>
        <v/>
      </c>
      <c r="AJ116" s="16" t="str">
        <f aca="false">IF(AND(ISNUMBER(SEARCH(" MAC "," "&amp;SUBSTITUTE($I116,","," ")&amp;" ")),ISNUMBER($L116)),$L116,"")</f>
        <v/>
      </c>
      <c r="AK116" s="16" t="str">
        <f aca="false">IF(AND(ISNUMBER(SEARCH(" UAH "," "&amp;SUBSTITUTE($I116,","," ")&amp;" ")),ISNUMBER($L116)),$L116,"")</f>
        <v/>
      </c>
      <c r="AL116" s="16" t="str">
        <f aca="false">IF(AND(ISNUMBER(SEARCH(" RB "," "&amp;SUBSTITUTE($I116,","," ")&amp;" ")),ISNUMBER($L116)),$L116,"")</f>
        <v/>
      </c>
    </row>
    <row r="117" customFormat="false" ht="55.5" hidden="false" customHeight="true" outlineLevel="0" collapsed="false">
      <c r="A117" s="17" t="s">
        <v>876</v>
      </c>
      <c r="B117" s="18" t="s">
        <v>851</v>
      </c>
      <c r="C117" s="18" t="s">
        <v>852</v>
      </c>
      <c r="D117" s="5" t="s">
        <v>877</v>
      </c>
      <c r="E117" s="5" t="s">
        <v>878</v>
      </c>
      <c r="F117" s="5" t="s">
        <v>879</v>
      </c>
      <c r="G117" s="5" t="s">
        <v>880</v>
      </c>
      <c r="H117" s="5" t="s">
        <v>881</v>
      </c>
      <c r="I117" s="13"/>
      <c r="J117" s="13" t="s">
        <v>46</v>
      </c>
      <c r="K117" s="9" t="n">
        <v>2</v>
      </c>
      <c r="L117" s="9"/>
      <c r="M117" s="13" t="str">
        <f aca="false">IF(ISNUMBER(L117),IF(L117&lt;K117,"Gap","OK"),IF(L117="N/A","N/A",""))</f>
        <v/>
      </c>
      <c r="N117" s="9"/>
      <c r="O117" s="9"/>
      <c r="P117" s="13" t="str">
        <f aca="false">IF(AND(M117="Gap",N117&lt;&gt;"",O117&lt;&gt;""),VLOOKUP(N117&amp;O117,Lists!$H$4:$I$12,2,FALSE()),"")</f>
        <v/>
      </c>
      <c r="Q117" s="13" t="str">
        <f aca="false">IF(AND(M117="Gap",O117="S",OR(N117="H",N117="M")),"Yes","")</f>
        <v/>
      </c>
      <c r="R117" s="9" t="s">
        <v>46</v>
      </c>
      <c r="S117" s="14" t="str">
        <f aca="false">IF(A117="","",IFERROR(IF(OR(VLOOKUP(A117,AutoEvidence!$A$2:$G$400,2,FALSE())="Collected",VLOOKUP(A117,AutoEvidence!$A$2:$G$400,2,FALSE())="Partial"),VLOOKUP(A117,AutoEvidence!$A$2:$G$400,3,FALSE())&amp;" ("&amp;VLOOKUP(A117,AutoEvidence!$A$2:$G$400,2,FALSE())&amp;")",VLOOKUP(A117,AutoEvidence!$A$2:$G$400,2,FALSE())),""))</f>
        <v/>
      </c>
      <c r="T117" s="7" t="str">
        <f aca="false">IF(A117="","",IFERROR(VLOOKUP(A117,AutoEvidence!$A$2:$G$400,4,FALSE())&amp;"",""))</f>
        <v/>
      </c>
      <c r="U117" s="6"/>
      <c r="V117" s="6"/>
      <c r="W117" s="9"/>
      <c r="X117" s="6"/>
      <c r="Y117" s="6"/>
      <c r="Z117" s="9"/>
      <c r="AA117" s="15"/>
      <c r="AB117" s="13" t="str">
        <f aca="false">IF(M117="Gap",1,IF(M117="OK",0,""))</f>
        <v/>
      </c>
      <c r="AC117" s="16" t="str">
        <f aca="false">IF(P117&lt;&gt;"",VALUE(RIGHT(P117,1))*1000+ROW(),"")</f>
        <v/>
      </c>
      <c r="AD117" s="16" t="str">
        <f aca="false">IF(ISNUMBER(L117),MIN(L117,K117),"")</f>
        <v/>
      </c>
      <c r="AE117" s="16" t="str">
        <f aca="false">IF(AND(ISNUMBER(SEARCH(" PA "," "&amp;SUBSTITUTE($I117,","," ")&amp;" ")),ISNUMBER($L117)),$L117,"")</f>
        <v/>
      </c>
      <c r="AF117" s="16" t="str">
        <f aca="false">IF(AND(ISNUMBER(SEARCH(" PO "," "&amp;SUBSTITUTE($I117,","," ")&amp;" ")),ISNUMBER($L117)),$L117,"")</f>
        <v/>
      </c>
      <c r="AG117" s="16" t="str">
        <f aca="false">IF(AND(ISNUMBER(SEARCH(" MFA "," "&amp;SUBSTITUTE($I117,","," ")&amp;" ")),ISNUMBER($L117)),$L117,"")</f>
        <v/>
      </c>
      <c r="AH117" s="16" t="str">
        <f aca="false">IF(AND(ISNUMBER(SEARCH(" RAP "," "&amp;SUBSTITUTE($I117,","," ")&amp;" ")),ISNUMBER($L117)),$L117,"")</f>
        <v/>
      </c>
      <c r="AI117" s="16" t="str">
        <f aca="false">IF(AND(ISNUMBER(SEARCH(" AC "," "&amp;SUBSTITUTE($I117,","," ")&amp;" ")),ISNUMBER($L117)),$L117,"")</f>
        <v/>
      </c>
      <c r="AJ117" s="16" t="str">
        <f aca="false">IF(AND(ISNUMBER(SEARCH(" MAC "," "&amp;SUBSTITUTE($I117,","," ")&amp;" ")),ISNUMBER($L117)),$L117,"")</f>
        <v/>
      </c>
      <c r="AK117" s="16" t="str">
        <f aca="false">IF(AND(ISNUMBER(SEARCH(" UAH "," "&amp;SUBSTITUTE($I117,","," ")&amp;" ")),ISNUMBER($L117)),$L117,"")</f>
        <v/>
      </c>
      <c r="AL117" s="16" t="str">
        <f aca="false">IF(AND(ISNUMBER(SEARCH(" RB "," "&amp;SUBSTITUTE($I117,","," ")&amp;" ")),ISNUMBER($L117)),$L117,"")</f>
        <v/>
      </c>
    </row>
    <row r="118" customFormat="false" ht="55.5" hidden="false" customHeight="true" outlineLevel="0" collapsed="false">
      <c r="A118" s="17" t="s">
        <v>882</v>
      </c>
      <c r="B118" s="18" t="s">
        <v>851</v>
      </c>
      <c r="C118" s="18" t="s">
        <v>852</v>
      </c>
      <c r="D118" s="5" t="s">
        <v>883</v>
      </c>
      <c r="E118" s="5" t="s">
        <v>884</v>
      </c>
      <c r="F118" s="5" t="s">
        <v>885</v>
      </c>
      <c r="G118" s="5" t="s">
        <v>886</v>
      </c>
      <c r="H118" s="5" t="s">
        <v>887</v>
      </c>
      <c r="I118" s="13"/>
      <c r="J118" s="13" t="s">
        <v>50</v>
      </c>
      <c r="K118" s="9" t="n">
        <v>2</v>
      </c>
      <c r="L118" s="9"/>
      <c r="M118" s="13" t="str">
        <f aca="false">IF(ISNUMBER(L118),IF(L118&lt;K118,"Gap","OK"),IF(L118="N/A","N/A",""))</f>
        <v/>
      </c>
      <c r="N118" s="9"/>
      <c r="O118" s="9"/>
      <c r="P118" s="13" t="str">
        <f aca="false">IF(AND(M118="Gap",N118&lt;&gt;"",O118&lt;&gt;""),VLOOKUP(N118&amp;O118,Lists!$H$4:$I$12,2,FALSE()),"")</f>
        <v/>
      </c>
      <c r="Q118" s="13" t="str">
        <f aca="false">IF(AND(M118="Gap",O118="S",OR(N118="H",N118="M")),"Yes","")</f>
        <v/>
      </c>
      <c r="R118" s="9" t="s">
        <v>50</v>
      </c>
      <c r="S118" s="14" t="str">
        <f aca="false">IF(A118="","",IFERROR(IF(OR(VLOOKUP(A118,AutoEvidence!$A$2:$G$400,2,FALSE())="Collected",VLOOKUP(A118,AutoEvidence!$A$2:$G$400,2,FALSE())="Partial"),VLOOKUP(A118,AutoEvidence!$A$2:$G$400,3,FALSE())&amp;" ("&amp;VLOOKUP(A118,AutoEvidence!$A$2:$G$400,2,FALSE())&amp;")",VLOOKUP(A118,AutoEvidence!$A$2:$G$400,2,FALSE())),""))</f>
        <v/>
      </c>
      <c r="T118" s="7" t="str">
        <f aca="false">IF(A118="","",IFERROR(VLOOKUP(A118,AutoEvidence!$A$2:$G$400,4,FALSE())&amp;"",""))</f>
        <v/>
      </c>
      <c r="U118" s="6"/>
      <c r="V118" s="6"/>
      <c r="W118" s="9"/>
      <c r="X118" s="6"/>
      <c r="Y118" s="6"/>
      <c r="Z118" s="9"/>
      <c r="AA118" s="15"/>
      <c r="AB118" s="13" t="str">
        <f aca="false">IF(M118="Gap",1,IF(M118="OK",0,""))</f>
        <v/>
      </c>
      <c r="AC118" s="16" t="str">
        <f aca="false">IF(P118&lt;&gt;"",VALUE(RIGHT(P118,1))*1000+ROW(),"")</f>
        <v/>
      </c>
      <c r="AD118" s="16" t="str">
        <f aca="false">IF(ISNUMBER(L118),MIN(L118,K118),"")</f>
        <v/>
      </c>
      <c r="AE118" s="16" t="str">
        <f aca="false">IF(AND(ISNUMBER(SEARCH(" PA "," "&amp;SUBSTITUTE($I118,","," ")&amp;" ")),ISNUMBER($L118)),$L118,"")</f>
        <v/>
      </c>
      <c r="AF118" s="16" t="str">
        <f aca="false">IF(AND(ISNUMBER(SEARCH(" PO "," "&amp;SUBSTITUTE($I118,","," ")&amp;" ")),ISNUMBER($L118)),$L118,"")</f>
        <v/>
      </c>
      <c r="AG118" s="16" t="str">
        <f aca="false">IF(AND(ISNUMBER(SEARCH(" MFA "," "&amp;SUBSTITUTE($I118,","," ")&amp;" ")),ISNUMBER($L118)),$L118,"")</f>
        <v/>
      </c>
      <c r="AH118" s="16" t="str">
        <f aca="false">IF(AND(ISNUMBER(SEARCH(" RAP "," "&amp;SUBSTITUTE($I118,","," ")&amp;" ")),ISNUMBER($L118)),$L118,"")</f>
        <v/>
      </c>
      <c r="AI118" s="16" t="str">
        <f aca="false">IF(AND(ISNUMBER(SEARCH(" AC "," "&amp;SUBSTITUTE($I118,","," ")&amp;" ")),ISNUMBER($L118)),$L118,"")</f>
        <v/>
      </c>
      <c r="AJ118" s="16" t="str">
        <f aca="false">IF(AND(ISNUMBER(SEARCH(" MAC "," "&amp;SUBSTITUTE($I118,","," ")&amp;" ")),ISNUMBER($L118)),$L118,"")</f>
        <v/>
      </c>
      <c r="AK118" s="16" t="str">
        <f aca="false">IF(AND(ISNUMBER(SEARCH(" UAH "," "&amp;SUBSTITUTE($I118,","," ")&amp;" ")),ISNUMBER($L118)),$L118,"")</f>
        <v/>
      </c>
      <c r="AL118" s="16" t="str">
        <f aca="false">IF(AND(ISNUMBER(SEARCH(" RB "," "&amp;SUBSTITUTE($I118,","," ")&amp;" ")),ISNUMBER($L118)),$L118,"")</f>
        <v/>
      </c>
    </row>
    <row r="119" customFormat="false" ht="55.5" hidden="false" customHeight="true" outlineLevel="0" collapsed="false">
      <c r="A119" s="17" t="s">
        <v>888</v>
      </c>
      <c r="B119" s="18" t="s">
        <v>851</v>
      </c>
      <c r="C119" s="18" t="s">
        <v>852</v>
      </c>
      <c r="D119" s="5" t="s">
        <v>889</v>
      </c>
      <c r="E119" s="5" t="s">
        <v>890</v>
      </c>
      <c r="F119" s="5" t="s">
        <v>891</v>
      </c>
      <c r="G119" s="5" t="s">
        <v>892</v>
      </c>
      <c r="H119" s="5" t="s">
        <v>893</v>
      </c>
      <c r="I119" s="13"/>
      <c r="J119" s="13" t="s">
        <v>50</v>
      </c>
      <c r="K119" s="9" t="n">
        <v>2</v>
      </c>
      <c r="L119" s="9"/>
      <c r="M119" s="13" t="str">
        <f aca="false">IF(ISNUMBER(L119),IF(L119&lt;K119,"Gap","OK"),IF(L119="N/A","N/A",""))</f>
        <v/>
      </c>
      <c r="N119" s="9"/>
      <c r="O119" s="9"/>
      <c r="P119" s="13" t="str">
        <f aca="false">IF(AND(M119="Gap",N119&lt;&gt;"",O119&lt;&gt;""),VLOOKUP(N119&amp;O119,Lists!$H$4:$I$12,2,FALSE()),"")</f>
        <v/>
      </c>
      <c r="Q119" s="13" t="str">
        <f aca="false">IF(AND(M119="Gap",O119="S",OR(N119="H",N119="M")),"Yes","")</f>
        <v/>
      </c>
      <c r="R119" s="9" t="s">
        <v>50</v>
      </c>
      <c r="S119" s="14" t="str">
        <f aca="false">IF(A119="","",IFERROR(IF(OR(VLOOKUP(A119,AutoEvidence!$A$2:$G$400,2,FALSE())="Collected",VLOOKUP(A119,AutoEvidence!$A$2:$G$400,2,FALSE())="Partial"),VLOOKUP(A119,AutoEvidence!$A$2:$G$400,3,FALSE())&amp;" ("&amp;VLOOKUP(A119,AutoEvidence!$A$2:$G$400,2,FALSE())&amp;")",VLOOKUP(A119,AutoEvidence!$A$2:$G$400,2,FALSE())),""))</f>
        <v/>
      </c>
      <c r="T119" s="7" t="str">
        <f aca="false">IF(A119="","",IFERROR(VLOOKUP(A119,AutoEvidence!$A$2:$G$400,4,FALSE())&amp;"",""))</f>
        <v/>
      </c>
      <c r="U119" s="6"/>
      <c r="V119" s="6"/>
      <c r="W119" s="9"/>
      <c r="X119" s="6"/>
      <c r="Y119" s="6"/>
      <c r="Z119" s="9"/>
      <c r="AA119" s="15"/>
      <c r="AB119" s="13" t="str">
        <f aca="false">IF(M119="Gap",1,IF(M119="OK",0,""))</f>
        <v/>
      </c>
      <c r="AC119" s="16" t="str">
        <f aca="false">IF(P119&lt;&gt;"",VALUE(RIGHT(P119,1))*1000+ROW(),"")</f>
        <v/>
      </c>
      <c r="AD119" s="16" t="str">
        <f aca="false">IF(ISNUMBER(L119),MIN(L119,K119),"")</f>
        <v/>
      </c>
      <c r="AE119" s="16" t="str">
        <f aca="false">IF(AND(ISNUMBER(SEARCH(" PA "," "&amp;SUBSTITUTE($I119,","," ")&amp;" ")),ISNUMBER($L119)),$L119,"")</f>
        <v/>
      </c>
      <c r="AF119" s="16" t="str">
        <f aca="false">IF(AND(ISNUMBER(SEARCH(" PO "," "&amp;SUBSTITUTE($I119,","," ")&amp;" ")),ISNUMBER($L119)),$L119,"")</f>
        <v/>
      </c>
      <c r="AG119" s="16" t="str">
        <f aca="false">IF(AND(ISNUMBER(SEARCH(" MFA "," "&amp;SUBSTITUTE($I119,","," ")&amp;" ")),ISNUMBER($L119)),$L119,"")</f>
        <v/>
      </c>
      <c r="AH119" s="16" t="str">
        <f aca="false">IF(AND(ISNUMBER(SEARCH(" RAP "," "&amp;SUBSTITUTE($I119,","," ")&amp;" ")),ISNUMBER($L119)),$L119,"")</f>
        <v/>
      </c>
      <c r="AI119" s="16" t="str">
        <f aca="false">IF(AND(ISNUMBER(SEARCH(" AC "," "&amp;SUBSTITUTE($I119,","," ")&amp;" ")),ISNUMBER($L119)),$L119,"")</f>
        <v/>
      </c>
      <c r="AJ119" s="16" t="str">
        <f aca="false">IF(AND(ISNUMBER(SEARCH(" MAC "," "&amp;SUBSTITUTE($I119,","," ")&amp;" ")),ISNUMBER($L119)),$L119,"")</f>
        <v/>
      </c>
      <c r="AK119" s="16" t="str">
        <f aca="false">IF(AND(ISNUMBER(SEARCH(" UAH "," "&amp;SUBSTITUTE($I119,","," ")&amp;" ")),ISNUMBER($L119)),$L119,"")</f>
        <v/>
      </c>
      <c r="AL119" s="16" t="str">
        <f aca="false">IF(AND(ISNUMBER(SEARCH(" RB "," "&amp;SUBSTITUTE($I119,","," ")&amp;" ")),ISNUMBER($L119)),$L119,"")</f>
        <v/>
      </c>
    </row>
    <row r="120" customFormat="false" ht="55.5" hidden="false" customHeight="true" outlineLevel="0" collapsed="false">
      <c r="A120" s="17" t="s">
        <v>894</v>
      </c>
      <c r="B120" s="18" t="s">
        <v>851</v>
      </c>
      <c r="C120" s="18" t="s">
        <v>852</v>
      </c>
      <c r="D120" s="5" t="s">
        <v>895</v>
      </c>
      <c r="E120" s="5" t="s">
        <v>896</v>
      </c>
      <c r="F120" s="5" t="s">
        <v>897</v>
      </c>
      <c r="G120" s="5" t="s">
        <v>898</v>
      </c>
      <c r="H120" s="5" t="s">
        <v>899</v>
      </c>
      <c r="I120" s="13"/>
      <c r="J120" s="13" t="s">
        <v>50</v>
      </c>
      <c r="K120" s="9" t="n">
        <v>2</v>
      </c>
      <c r="L120" s="9"/>
      <c r="M120" s="13" t="str">
        <f aca="false">IF(ISNUMBER(L120),IF(L120&lt;K120,"Gap","OK"),IF(L120="N/A","N/A",""))</f>
        <v/>
      </c>
      <c r="N120" s="9"/>
      <c r="O120" s="9"/>
      <c r="P120" s="13" t="str">
        <f aca="false">IF(AND(M120="Gap",N120&lt;&gt;"",O120&lt;&gt;""),VLOOKUP(N120&amp;O120,Lists!$H$4:$I$12,2,FALSE()),"")</f>
        <v/>
      </c>
      <c r="Q120" s="13" t="str">
        <f aca="false">IF(AND(M120="Gap",O120="S",OR(N120="H",N120="M")),"Yes","")</f>
        <v/>
      </c>
      <c r="R120" s="9" t="s">
        <v>50</v>
      </c>
      <c r="S120" s="14" t="str">
        <f aca="false">IF(A120="","",IFERROR(IF(OR(VLOOKUP(A120,AutoEvidence!$A$2:$G$400,2,FALSE())="Collected",VLOOKUP(A120,AutoEvidence!$A$2:$G$400,2,FALSE())="Partial"),VLOOKUP(A120,AutoEvidence!$A$2:$G$400,3,FALSE())&amp;" ("&amp;VLOOKUP(A120,AutoEvidence!$A$2:$G$400,2,FALSE())&amp;")",VLOOKUP(A120,AutoEvidence!$A$2:$G$400,2,FALSE())),""))</f>
        <v/>
      </c>
      <c r="T120" s="7" t="str">
        <f aca="false">IF(A120="","",IFERROR(VLOOKUP(A120,AutoEvidence!$A$2:$G$400,4,FALSE())&amp;"",""))</f>
        <v/>
      </c>
      <c r="U120" s="6"/>
      <c r="V120" s="6"/>
      <c r="W120" s="9"/>
      <c r="X120" s="6"/>
      <c r="Y120" s="6"/>
      <c r="Z120" s="9"/>
      <c r="AA120" s="15"/>
      <c r="AB120" s="13" t="str">
        <f aca="false">IF(M120="Gap",1,IF(M120="OK",0,""))</f>
        <v/>
      </c>
      <c r="AC120" s="16" t="str">
        <f aca="false">IF(P120&lt;&gt;"",VALUE(RIGHT(P120,1))*1000+ROW(),"")</f>
        <v/>
      </c>
      <c r="AD120" s="16" t="str">
        <f aca="false">IF(ISNUMBER(L120),MIN(L120,K120),"")</f>
        <v/>
      </c>
      <c r="AE120" s="16" t="str">
        <f aca="false">IF(AND(ISNUMBER(SEARCH(" PA "," "&amp;SUBSTITUTE($I120,","," ")&amp;" ")),ISNUMBER($L120)),$L120,"")</f>
        <v/>
      </c>
      <c r="AF120" s="16" t="str">
        <f aca="false">IF(AND(ISNUMBER(SEARCH(" PO "," "&amp;SUBSTITUTE($I120,","," ")&amp;" ")),ISNUMBER($L120)),$L120,"")</f>
        <v/>
      </c>
      <c r="AG120" s="16" t="str">
        <f aca="false">IF(AND(ISNUMBER(SEARCH(" MFA "," "&amp;SUBSTITUTE($I120,","," ")&amp;" ")),ISNUMBER($L120)),$L120,"")</f>
        <v/>
      </c>
      <c r="AH120" s="16" t="str">
        <f aca="false">IF(AND(ISNUMBER(SEARCH(" RAP "," "&amp;SUBSTITUTE($I120,","," ")&amp;" ")),ISNUMBER($L120)),$L120,"")</f>
        <v/>
      </c>
      <c r="AI120" s="16" t="str">
        <f aca="false">IF(AND(ISNUMBER(SEARCH(" AC "," "&amp;SUBSTITUTE($I120,","," ")&amp;" ")),ISNUMBER($L120)),$L120,"")</f>
        <v/>
      </c>
      <c r="AJ120" s="16" t="str">
        <f aca="false">IF(AND(ISNUMBER(SEARCH(" MAC "," "&amp;SUBSTITUTE($I120,","," ")&amp;" ")),ISNUMBER($L120)),$L120,"")</f>
        <v/>
      </c>
      <c r="AK120" s="16" t="str">
        <f aca="false">IF(AND(ISNUMBER(SEARCH(" UAH "," "&amp;SUBSTITUTE($I120,","," ")&amp;" ")),ISNUMBER($L120)),$L120,"")</f>
        <v/>
      </c>
      <c r="AL120" s="16" t="str">
        <f aca="false">IF(AND(ISNUMBER(SEARCH(" RB "," "&amp;SUBSTITUTE($I120,","," ")&amp;" ")),ISNUMBER($L120)),$L120,"")</f>
        <v/>
      </c>
    </row>
    <row r="121" customFormat="false" ht="69" hidden="false" customHeight="true" outlineLevel="0" collapsed="false">
      <c r="A121" s="17" t="s">
        <v>900</v>
      </c>
      <c r="B121" s="18" t="s">
        <v>851</v>
      </c>
      <c r="C121" s="18" t="s">
        <v>852</v>
      </c>
      <c r="D121" s="5" t="s">
        <v>901</v>
      </c>
      <c r="E121" s="5" t="s">
        <v>902</v>
      </c>
      <c r="F121" s="5" t="s">
        <v>903</v>
      </c>
      <c r="G121" s="5" t="s">
        <v>904</v>
      </c>
      <c r="H121" s="5" t="s">
        <v>905</v>
      </c>
      <c r="I121" s="13"/>
      <c r="J121" s="13" t="s">
        <v>46</v>
      </c>
      <c r="K121" s="9" t="n">
        <v>2</v>
      </c>
      <c r="L121" s="9"/>
      <c r="M121" s="13" t="str">
        <f aca="false">IF(ISNUMBER(L121),IF(L121&lt;K121,"Gap","OK"),IF(L121="N/A","N/A",""))</f>
        <v/>
      </c>
      <c r="N121" s="9"/>
      <c r="O121" s="9"/>
      <c r="P121" s="13" t="str">
        <f aca="false">IF(AND(M121="Gap",N121&lt;&gt;"",O121&lt;&gt;""),VLOOKUP(N121&amp;O121,Lists!$H$4:$I$12,2,FALSE()),"")</f>
        <v/>
      </c>
      <c r="Q121" s="13" t="str">
        <f aca="false">IF(AND(M121="Gap",O121="S",OR(N121="H",N121="M")),"Yes","")</f>
        <v/>
      </c>
      <c r="R121" s="9" t="s">
        <v>46</v>
      </c>
      <c r="S121" s="14" t="str">
        <f aca="false">IF(A121="","",IFERROR(IF(OR(VLOOKUP(A121,AutoEvidence!$A$2:$G$400,2,FALSE())="Collected",VLOOKUP(A121,AutoEvidence!$A$2:$G$400,2,FALSE())="Partial"),VLOOKUP(A121,AutoEvidence!$A$2:$G$400,3,FALSE())&amp;" ("&amp;VLOOKUP(A121,AutoEvidence!$A$2:$G$400,2,FALSE())&amp;")",VLOOKUP(A121,AutoEvidence!$A$2:$G$400,2,FALSE())),""))</f>
        <v/>
      </c>
      <c r="T121" s="7" t="str">
        <f aca="false">IF(A121="","",IFERROR(VLOOKUP(A121,AutoEvidence!$A$2:$G$400,4,FALSE())&amp;"",""))</f>
        <v/>
      </c>
      <c r="U121" s="6"/>
      <c r="V121" s="6"/>
      <c r="W121" s="9"/>
      <c r="X121" s="6"/>
      <c r="Y121" s="6"/>
      <c r="Z121" s="9"/>
      <c r="AA121" s="15"/>
      <c r="AB121" s="13" t="str">
        <f aca="false">IF(M121="Gap",1,IF(M121="OK",0,""))</f>
        <v/>
      </c>
      <c r="AC121" s="16" t="str">
        <f aca="false">IF(P121&lt;&gt;"",VALUE(RIGHT(P121,1))*1000+ROW(),"")</f>
        <v/>
      </c>
      <c r="AD121" s="16" t="str">
        <f aca="false">IF(ISNUMBER(L121),MIN(L121,K121),"")</f>
        <v/>
      </c>
      <c r="AE121" s="16" t="str">
        <f aca="false">IF(AND(ISNUMBER(SEARCH(" PA "," "&amp;SUBSTITUTE($I121,","," ")&amp;" ")),ISNUMBER($L121)),$L121,"")</f>
        <v/>
      </c>
      <c r="AF121" s="16" t="str">
        <f aca="false">IF(AND(ISNUMBER(SEARCH(" PO "," "&amp;SUBSTITUTE($I121,","," ")&amp;" ")),ISNUMBER($L121)),$L121,"")</f>
        <v/>
      </c>
      <c r="AG121" s="16" t="str">
        <f aca="false">IF(AND(ISNUMBER(SEARCH(" MFA "," "&amp;SUBSTITUTE($I121,","," ")&amp;" ")),ISNUMBER($L121)),$L121,"")</f>
        <v/>
      </c>
      <c r="AH121" s="16" t="str">
        <f aca="false">IF(AND(ISNUMBER(SEARCH(" RAP "," "&amp;SUBSTITUTE($I121,","," ")&amp;" ")),ISNUMBER($L121)),$L121,"")</f>
        <v/>
      </c>
      <c r="AI121" s="16" t="str">
        <f aca="false">IF(AND(ISNUMBER(SEARCH(" AC "," "&amp;SUBSTITUTE($I121,","," ")&amp;" ")),ISNUMBER($L121)),$L121,"")</f>
        <v/>
      </c>
      <c r="AJ121" s="16" t="str">
        <f aca="false">IF(AND(ISNUMBER(SEARCH(" MAC "," "&amp;SUBSTITUTE($I121,","," ")&amp;" ")),ISNUMBER($L121)),$L121,"")</f>
        <v/>
      </c>
      <c r="AK121" s="16" t="str">
        <f aca="false">IF(AND(ISNUMBER(SEARCH(" UAH "," "&amp;SUBSTITUTE($I121,","," ")&amp;" ")),ISNUMBER($L121)),$L121,"")</f>
        <v/>
      </c>
      <c r="AL121" s="16" t="str">
        <f aca="false">IF(AND(ISNUMBER(SEARCH(" RB "," "&amp;SUBSTITUTE($I121,","," ")&amp;" ")),ISNUMBER($L121)),$L121,"")</f>
        <v/>
      </c>
    </row>
    <row r="122" customFormat="false" ht="55.5" hidden="false" customHeight="true" outlineLevel="0" collapsed="false">
      <c r="A122" s="4" t="s">
        <v>906</v>
      </c>
      <c r="B122" s="5" t="s">
        <v>907</v>
      </c>
      <c r="C122" s="5" t="s">
        <v>908</v>
      </c>
      <c r="D122" s="5" t="s">
        <v>909</v>
      </c>
      <c r="E122" s="5" t="s">
        <v>910</v>
      </c>
      <c r="F122" s="5" t="s">
        <v>911</v>
      </c>
      <c r="G122" s="5" t="s">
        <v>912</v>
      </c>
      <c r="H122" s="5" t="s">
        <v>913</v>
      </c>
      <c r="I122" s="13"/>
      <c r="J122" s="13" t="s">
        <v>48</v>
      </c>
      <c r="K122" s="9" t="n">
        <v>2</v>
      </c>
      <c r="L122" s="9"/>
      <c r="M122" s="13" t="str">
        <f aca="false">IF(ISNUMBER(L122),IF(L122&lt;K122,"Gap","OK"),IF(L122="N/A","N/A",""))</f>
        <v/>
      </c>
      <c r="N122" s="9"/>
      <c r="O122" s="9"/>
      <c r="P122" s="13" t="str">
        <f aca="false">IF(AND(M122="Gap",N122&lt;&gt;"",O122&lt;&gt;""),VLOOKUP(N122&amp;O122,Lists!$H$4:$I$12,2,FALSE()),"")</f>
        <v/>
      </c>
      <c r="Q122" s="13" t="str">
        <f aca="false">IF(AND(M122="Gap",O122="S",OR(N122="H",N122="M")),"Yes","")</f>
        <v/>
      </c>
      <c r="R122" s="9" t="s">
        <v>48</v>
      </c>
      <c r="S122" s="14" t="str">
        <f aca="false">IF(A122="","",IFERROR(IF(OR(VLOOKUP(A122,AutoEvidence!$A$2:$G$400,2,FALSE())="Collected",VLOOKUP(A122,AutoEvidence!$A$2:$G$400,2,FALSE())="Partial"),VLOOKUP(A122,AutoEvidence!$A$2:$G$400,3,FALSE())&amp;" ("&amp;VLOOKUP(A122,AutoEvidence!$A$2:$G$400,2,FALSE())&amp;")",VLOOKUP(A122,AutoEvidence!$A$2:$G$400,2,FALSE())),""))</f>
        <v/>
      </c>
      <c r="T122" s="7" t="str">
        <f aca="false">IF(A122="","",IFERROR(VLOOKUP(A122,AutoEvidence!$A$2:$G$400,4,FALSE())&amp;"",""))</f>
        <v/>
      </c>
      <c r="U122" s="6"/>
      <c r="V122" s="6"/>
      <c r="W122" s="9"/>
      <c r="X122" s="6"/>
      <c r="Y122" s="6"/>
      <c r="Z122" s="9"/>
      <c r="AA122" s="15"/>
      <c r="AB122" s="13" t="str">
        <f aca="false">IF(M122="Gap",1,IF(M122="OK",0,""))</f>
        <v/>
      </c>
      <c r="AC122" s="16" t="str">
        <f aca="false">IF(P122&lt;&gt;"",VALUE(RIGHT(P122,1))*1000+ROW(),"")</f>
        <v/>
      </c>
      <c r="AD122" s="16" t="str">
        <f aca="false">IF(ISNUMBER(L122),MIN(L122,K122),"")</f>
        <v/>
      </c>
      <c r="AE122" s="16" t="str">
        <f aca="false">IF(AND(ISNUMBER(SEARCH(" PA "," "&amp;SUBSTITUTE($I122,","," ")&amp;" ")),ISNUMBER($L122)),$L122,"")</f>
        <v/>
      </c>
      <c r="AF122" s="16" t="str">
        <f aca="false">IF(AND(ISNUMBER(SEARCH(" PO "," "&amp;SUBSTITUTE($I122,","," ")&amp;" ")),ISNUMBER($L122)),$L122,"")</f>
        <v/>
      </c>
      <c r="AG122" s="16" t="str">
        <f aca="false">IF(AND(ISNUMBER(SEARCH(" MFA "," "&amp;SUBSTITUTE($I122,","," ")&amp;" ")),ISNUMBER($L122)),$L122,"")</f>
        <v/>
      </c>
      <c r="AH122" s="16" t="str">
        <f aca="false">IF(AND(ISNUMBER(SEARCH(" RAP "," "&amp;SUBSTITUTE($I122,","," ")&amp;" ")),ISNUMBER($L122)),$L122,"")</f>
        <v/>
      </c>
      <c r="AI122" s="16" t="str">
        <f aca="false">IF(AND(ISNUMBER(SEARCH(" AC "," "&amp;SUBSTITUTE($I122,","," ")&amp;" ")),ISNUMBER($L122)),$L122,"")</f>
        <v/>
      </c>
      <c r="AJ122" s="16" t="str">
        <f aca="false">IF(AND(ISNUMBER(SEARCH(" MAC "," "&amp;SUBSTITUTE($I122,","," ")&amp;" ")),ISNUMBER($L122)),$L122,"")</f>
        <v/>
      </c>
      <c r="AK122" s="16" t="str">
        <f aca="false">IF(AND(ISNUMBER(SEARCH(" UAH "," "&amp;SUBSTITUTE($I122,","," ")&amp;" ")),ISNUMBER($L122)),$L122,"")</f>
        <v/>
      </c>
      <c r="AL122" s="16" t="str">
        <f aca="false">IF(AND(ISNUMBER(SEARCH(" RB "," "&amp;SUBSTITUTE($I122,","," ")&amp;" ")),ISNUMBER($L122)),$L122,"")</f>
        <v/>
      </c>
    </row>
    <row r="123" customFormat="false" ht="81.75" hidden="false" customHeight="true" outlineLevel="0" collapsed="false">
      <c r="A123" s="4" t="s">
        <v>914</v>
      </c>
      <c r="B123" s="5" t="s">
        <v>907</v>
      </c>
      <c r="C123" s="5" t="s">
        <v>908</v>
      </c>
      <c r="D123" s="5" t="s">
        <v>915</v>
      </c>
      <c r="E123" s="5" t="s">
        <v>916</v>
      </c>
      <c r="F123" s="5" t="s">
        <v>917</v>
      </c>
      <c r="G123" s="5" t="s">
        <v>918</v>
      </c>
      <c r="H123" s="5" t="s">
        <v>919</v>
      </c>
      <c r="I123" s="13" t="s">
        <v>687</v>
      </c>
      <c r="J123" s="13" t="s">
        <v>48</v>
      </c>
      <c r="K123" s="9" t="n">
        <v>2</v>
      </c>
      <c r="L123" s="9"/>
      <c r="M123" s="13" t="str">
        <f aca="false">IF(ISNUMBER(L123),IF(L123&lt;K123,"Gap","OK"),IF(L123="N/A","N/A",""))</f>
        <v/>
      </c>
      <c r="N123" s="9"/>
      <c r="O123" s="9"/>
      <c r="P123" s="13" t="str">
        <f aca="false">IF(AND(M123="Gap",N123&lt;&gt;"",O123&lt;&gt;""),VLOOKUP(N123&amp;O123,Lists!$H$4:$I$12,2,FALSE()),"")</f>
        <v/>
      </c>
      <c r="Q123" s="13" t="str">
        <f aca="false">IF(AND(M123="Gap",O123="S",OR(N123="H",N123="M")),"Yes","")</f>
        <v/>
      </c>
      <c r="R123" s="9" t="s">
        <v>48</v>
      </c>
      <c r="S123" s="14" t="str">
        <f aca="false">IF(A123="","",IFERROR(IF(OR(VLOOKUP(A123,AutoEvidence!$A$2:$G$400,2,FALSE())="Collected",VLOOKUP(A123,AutoEvidence!$A$2:$G$400,2,FALSE())="Partial"),VLOOKUP(A123,AutoEvidence!$A$2:$G$400,3,FALSE())&amp;" ("&amp;VLOOKUP(A123,AutoEvidence!$A$2:$G$400,2,FALSE())&amp;")",VLOOKUP(A123,AutoEvidence!$A$2:$G$400,2,FALSE())),""))</f>
        <v/>
      </c>
      <c r="T123" s="7" t="str">
        <f aca="false">IF(A123="","",IFERROR(VLOOKUP(A123,AutoEvidence!$A$2:$G$400,4,FALSE())&amp;"",""))</f>
        <v/>
      </c>
      <c r="U123" s="6"/>
      <c r="V123" s="6"/>
      <c r="W123" s="9"/>
      <c r="X123" s="6"/>
      <c r="Y123" s="6"/>
      <c r="Z123" s="9"/>
      <c r="AA123" s="15"/>
      <c r="AB123" s="13" t="str">
        <f aca="false">IF(M123="Gap",1,IF(M123="OK",0,""))</f>
        <v/>
      </c>
      <c r="AC123" s="16" t="str">
        <f aca="false">IF(P123&lt;&gt;"",VALUE(RIGHT(P123,1))*1000+ROW(),"")</f>
        <v/>
      </c>
      <c r="AD123" s="16" t="str">
        <f aca="false">IF(ISNUMBER(L123),MIN(L123,K123),"")</f>
        <v/>
      </c>
      <c r="AE123" s="16" t="str">
        <f aca="false">IF(AND(ISNUMBER(SEARCH(" PA "," "&amp;SUBSTITUTE($I123,","," ")&amp;" ")),ISNUMBER($L123)),$L123,"")</f>
        <v/>
      </c>
      <c r="AF123" s="16" t="str">
        <f aca="false">IF(AND(ISNUMBER(SEARCH(" PO "," "&amp;SUBSTITUTE($I123,","," ")&amp;" ")),ISNUMBER($L123)),$L123,"")</f>
        <v/>
      </c>
      <c r="AG123" s="16" t="str">
        <f aca="false">IF(AND(ISNUMBER(SEARCH(" MFA "," "&amp;SUBSTITUTE($I123,","," ")&amp;" ")),ISNUMBER($L123)),$L123,"")</f>
        <v/>
      </c>
      <c r="AH123" s="16" t="str">
        <f aca="false">IF(AND(ISNUMBER(SEARCH(" RAP "," "&amp;SUBSTITUTE($I123,","," ")&amp;" ")),ISNUMBER($L123)),$L123,"")</f>
        <v/>
      </c>
      <c r="AI123" s="16" t="str">
        <f aca="false">IF(AND(ISNUMBER(SEARCH(" AC "," "&amp;SUBSTITUTE($I123,","," ")&amp;" ")),ISNUMBER($L123)),$L123,"")</f>
        <v/>
      </c>
      <c r="AJ123" s="16" t="str">
        <f aca="false">IF(AND(ISNUMBER(SEARCH(" MAC "," "&amp;SUBSTITUTE($I123,","," ")&amp;" ")),ISNUMBER($L123)),$L123,"")</f>
        <v/>
      </c>
      <c r="AK123" s="16" t="str">
        <f aca="false">IF(AND(ISNUMBER(SEARCH(" UAH "," "&amp;SUBSTITUTE($I123,","," ")&amp;" ")),ISNUMBER($L123)),$L123,"")</f>
        <v/>
      </c>
      <c r="AL123" s="16" t="str">
        <f aca="false">IF(AND(ISNUMBER(SEARCH(" RB "," "&amp;SUBSTITUTE($I123,","," ")&amp;" ")),ISNUMBER($L123)),$L123,"")</f>
        <v/>
      </c>
    </row>
    <row r="124" customFormat="false" ht="69" hidden="false" customHeight="true" outlineLevel="0" collapsed="false">
      <c r="A124" s="4" t="s">
        <v>920</v>
      </c>
      <c r="B124" s="5" t="s">
        <v>907</v>
      </c>
      <c r="C124" s="5" t="s">
        <v>908</v>
      </c>
      <c r="D124" s="5" t="s">
        <v>921</v>
      </c>
      <c r="E124" s="5" t="s">
        <v>922</v>
      </c>
      <c r="F124" s="5" t="s">
        <v>923</v>
      </c>
      <c r="G124" s="5" t="s">
        <v>924</v>
      </c>
      <c r="H124" s="5" t="s">
        <v>925</v>
      </c>
      <c r="I124" s="13"/>
      <c r="J124" s="13" t="s">
        <v>46</v>
      </c>
      <c r="K124" s="9" t="n">
        <v>2</v>
      </c>
      <c r="L124" s="9"/>
      <c r="M124" s="13" t="str">
        <f aca="false">IF(ISNUMBER(L124),IF(L124&lt;K124,"Gap","OK"),IF(L124="N/A","N/A",""))</f>
        <v/>
      </c>
      <c r="N124" s="9"/>
      <c r="O124" s="9"/>
      <c r="P124" s="13" t="str">
        <f aca="false">IF(AND(M124="Gap",N124&lt;&gt;"",O124&lt;&gt;""),VLOOKUP(N124&amp;O124,Lists!$H$4:$I$12,2,FALSE()),"")</f>
        <v/>
      </c>
      <c r="Q124" s="13" t="str">
        <f aca="false">IF(AND(M124="Gap",O124="S",OR(N124="H",N124="M")),"Yes","")</f>
        <v/>
      </c>
      <c r="R124" s="9" t="s">
        <v>46</v>
      </c>
      <c r="S124" s="14" t="str">
        <f aca="false">IF(A124="","",IFERROR(IF(OR(VLOOKUP(A124,AutoEvidence!$A$2:$G$400,2,FALSE())="Collected",VLOOKUP(A124,AutoEvidence!$A$2:$G$400,2,FALSE())="Partial"),VLOOKUP(A124,AutoEvidence!$A$2:$G$400,3,FALSE())&amp;" ("&amp;VLOOKUP(A124,AutoEvidence!$A$2:$G$400,2,FALSE())&amp;")",VLOOKUP(A124,AutoEvidence!$A$2:$G$400,2,FALSE())),""))</f>
        <v/>
      </c>
      <c r="T124" s="7" t="str">
        <f aca="false">IF(A124="","",IFERROR(VLOOKUP(A124,AutoEvidence!$A$2:$G$400,4,FALSE())&amp;"",""))</f>
        <v/>
      </c>
      <c r="U124" s="6"/>
      <c r="V124" s="6"/>
      <c r="W124" s="9"/>
      <c r="X124" s="6"/>
      <c r="Y124" s="6"/>
      <c r="Z124" s="9"/>
      <c r="AA124" s="15"/>
      <c r="AB124" s="13" t="str">
        <f aca="false">IF(M124="Gap",1,IF(M124="OK",0,""))</f>
        <v/>
      </c>
      <c r="AC124" s="16" t="str">
        <f aca="false">IF(P124&lt;&gt;"",VALUE(RIGHT(P124,1))*1000+ROW(),"")</f>
        <v/>
      </c>
      <c r="AD124" s="16" t="str">
        <f aca="false">IF(ISNUMBER(L124),MIN(L124,K124),"")</f>
        <v/>
      </c>
      <c r="AE124" s="16" t="str">
        <f aca="false">IF(AND(ISNUMBER(SEARCH(" PA "," "&amp;SUBSTITUTE($I124,","," ")&amp;" ")),ISNUMBER($L124)),$L124,"")</f>
        <v/>
      </c>
      <c r="AF124" s="16" t="str">
        <f aca="false">IF(AND(ISNUMBER(SEARCH(" PO "," "&amp;SUBSTITUTE($I124,","," ")&amp;" ")),ISNUMBER($L124)),$L124,"")</f>
        <v/>
      </c>
      <c r="AG124" s="16" t="str">
        <f aca="false">IF(AND(ISNUMBER(SEARCH(" MFA "," "&amp;SUBSTITUTE($I124,","," ")&amp;" ")),ISNUMBER($L124)),$L124,"")</f>
        <v/>
      </c>
      <c r="AH124" s="16" t="str">
        <f aca="false">IF(AND(ISNUMBER(SEARCH(" RAP "," "&amp;SUBSTITUTE($I124,","," ")&amp;" ")),ISNUMBER($L124)),$L124,"")</f>
        <v/>
      </c>
      <c r="AI124" s="16" t="str">
        <f aca="false">IF(AND(ISNUMBER(SEARCH(" AC "," "&amp;SUBSTITUTE($I124,","," ")&amp;" ")),ISNUMBER($L124)),$L124,"")</f>
        <v/>
      </c>
      <c r="AJ124" s="16" t="str">
        <f aca="false">IF(AND(ISNUMBER(SEARCH(" MAC "," "&amp;SUBSTITUTE($I124,","," ")&amp;" ")),ISNUMBER($L124)),$L124,"")</f>
        <v/>
      </c>
      <c r="AK124" s="16" t="str">
        <f aca="false">IF(AND(ISNUMBER(SEARCH(" UAH "," "&amp;SUBSTITUTE($I124,","," ")&amp;" ")),ISNUMBER($L124)),$L124,"")</f>
        <v/>
      </c>
      <c r="AL124" s="16" t="str">
        <f aca="false">IF(AND(ISNUMBER(SEARCH(" RB "," "&amp;SUBSTITUTE($I124,","," ")&amp;" ")),ISNUMBER($L124)),$L124,"")</f>
        <v/>
      </c>
    </row>
    <row r="125" customFormat="false" ht="55.5" hidden="false" customHeight="true" outlineLevel="0" collapsed="false">
      <c r="A125" s="4" t="s">
        <v>926</v>
      </c>
      <c r="B125" s="5" t="s">
        <v>907</v>
      </c>
      <c r="C125" s="5" t="s">
        <v>908</v>
      </c>
      <c r="D125" s="5" t="s">
        <v>927</v>
      </c>
      <c r="E125" s="5" t="s">
        <v>928</v>
      </c>
      <c r="F125" s="5" t="s">
        <v>929</v>
      </c>
      <c r="G125" s="5" t="s">
        <v>930</v>
      </c>
      <c r="H125" s="5" t="s">
        <v>931</v>
      </c>
      <c r="I125" s="13"/>
      <c r="J125" s="13" t="s">
        <v>50</v>
      </c>
      <c r="K125" s="9" t="n">
        <v>2</v>
      </c>
      <c r="L125" s="9"/>
      <c r="M125" s="13" t="str">
        <f aca="false">IF(ISNUMBER(L125),IF(L125&lt;K125,"Gap","OK"),IF(L125="N/A","N/A",""))</f>
        <v/>
      </c>
      <c r="N125" s="9"/>
      <c r="O125" s="9"/>
      <c r="P125" s="13" t="str">
        <f aca="false">IF(AND(M125="Gap",N125&lt;&gt;"",O125&lt;&gt;""),VLOOKUP(N125&amp;O125,Lists!$H$4:$I$12,2,FALSE()),"")</f>
        <v/>
      </c>
      <c r="Q125" s="13" t="str">
        <f aca="false">IF(AND(M125="Gap",O125="S",OR(N125="H",N125="M")),"Yes","")</f>
        <v/>
      </c>
      <c r="R125" s="9" t="s">
        <v>50</v>
      </c>
      <c r="S125" s="14" t="str">
        <f aca="false">IF(A125="","",IFERROR(IF(OR(VLOOKUP(A125,AutoEvidence!$A$2:$G$400,2,FALSE())="Collected",VLOOKUP(A125,AutoEvidence!$A$2:$G$400,2,FALSE())="Partial"),VLOOKUP(A125,AutoEvidence!$A$2:$G$400,3,FALSE())&amp;" ("&amp;VLOOKUP(A125,AutoEvidence!$A$2:$G$400,2,FALSE())&amp;")",VLOOKUP(A125,AutoEvidence!$A$2:$G$400,2,FALSE())),""))</f>
        <v/>
      </c>
      <c r="T125" s="7" t="str">
        <f aca="false">IF(A125="","",IFERROR(VLOOKUP(A125,AutoEvidence!$A$2:$G$400,4,FALSE())&amp;"",""))</f>
        <v/>
      </c>
      <c r="U125" s="6"/>
      <c r="V125" s="6"/>
      <c r="W125" s="9"/>
      <c r="X125" s="6"/>
      <c r="Y125" s="6"/>
      <c r="Z125" s="9"/>
      <c r="AA125" s="15"/>
      <c r="AB125" s="13" t="str">
        <f aca="false">IF(M125="Gap",1,IF(M125="OK",0,""))</f>
        <v/>
      </c>
      <c r="AC125" s="16" t="str">
        <f aca="false">IF(P125&lt;&gt;"",VALUE(RIGHT(P125,1))*1000+ROW(),"")</f>
        <v/>
      </c>
      <c r="AD125" s="16" t="str">
        <f aca="false">IF(ISNUMBER(L125),MIN(L125,K125),"")</f>
        <v/>
      </c>
      <c r="AE125" s="16" t="str">
        <f aca="false">IF(AND(ISNUMBER(SEARCH(" PA "," "&amp;SUBSTITUTE($I125,","," ")&amp;" ")),ISNUMBER($L125)),$L125,"")</f>
        <v/>
      </c>
      <c r="AF125" s="16" t="str">
        <f aca="false">IF(AND(ISNUMBER(SEARCH(" PO "," "&amp;SUBSTITUTE($I125,","," ")&amp;" ")),ISNUMBER($L125)),$L125,"")</f>
        <v/>
      </c>
      <c r="AG125" s="16" t="str">
        <f aca="false">IF(AND(ISNUMBER(SEARCH(" MFA "," "&amp;SUBSTITUTE($I125,","," ")&amp;" ")),ISNUMBER($L125)),$L125,"")</f>
        <v/>
      </c>
      <c r="AH125" s="16" t="str">
        <f aca="false">IF(AND(ISNUMBER(SEARCH(" RAP "," "&amp;SUBSTITUTE($I125,","," ")&amp;" ")),ISNUMBER($L125)),$L125,"")</f>
        <v/>
      </c>
      <c r="AI125" s="16" t="str">
        <f aca="false">IF(AND(ISNUMBER(SEARCH(" AC "," "&amp;SUBSTITUTE($I125,","," ")&amp;" ")),ISNUMBER($L125)),$L125,"")</f>
        <v/>
      </c>
      <c r="AJ125" s="16" t="str">
        <f aca="false">IF(AND(ISNUMBER(SEARCH(" MAC "," "&amp;SUBSTITUTE($I125,","," ")&amp;" ")),ISNUMBER($L125)),$L125,"")</f>
        <v/>
      </c>
      <c r="AK125" s="16" t="str">
        <f aca="false">IF(AND(ISNUMBER(SEARCH(" UAH "," "&amp;SUBSTITUTE($I125,","," ")&amp;" ")),ISNUMBER($L125)),$L125,"")</f>
        <v/>
      </c>
      <c r="AL125" s="16" t="str">
        <f aca="false">IF(AND(ISNUMBER(SEARCH(" RB "," "&amp;SUBSTITUTE($I125,","," ")&amp;" ")),ISNUMBER($L125)),$L125,"")</f>
        <v/>
      </c>
    </row>
    <row r="126" customFormat="false" ht="55.5" hidden="false" customHeight="true" outlineLevel="0" collapsed="false">
      <c r="A126" s="4" t="s">
        <v>932</v>
      </c>
      <c r="B126" s="5" t="s">
        <v>907</v>
      </c>
      <c r="C126" s="5" t="s">
        <v>908</v>
      </c>
      <c r="D126" s="5" t="s">
        <v>933</v>
      </c>
      <c r="E126" s="5" t="s">
        <v>934</v>
      </c>
      <c r="F126" s="5" t="s">
        <v>935</v>
      </c>
      <c r="G126" s="5" t="s">
        <v>936</v>
      </c>
      <c r="H126" s="5" t="s">
        <v>937</v>
      </c>
      <c r="I126" s="13"/>
      <c r="J126" s="13" t="s">
        <v>50</v>
      </c>
      <c r="K126" s="9" t="n">
        <v>2</v>
      </c>
      <c r="L126" s="9"/>
      <c r="M126" s="13" t="str">
        <f aca="false">IF(ISNUMBER(L126),IF(L126&lt;K126,"Gap","OK"),IF(L126="N/A","N/A",""))</f>
        <v/>
      </c>
      <c r="N126" s="9"/>
      <c r="O126" s="9"/>
      <c r="P126" s="13" t="str">
        <f aca="false">IF(AND(M126="Gap",N126&lt;&gt;"",O126&lt;&gt;""),VLOOKUP(N126&amp;O126,Lists!$H$4:$I$12,2,FALSE()),"")</f>
        <v/>
      </c>
      <c r="Q126" s="13" t="str">
        <f aca="false">IF(AND(M126="Gap",O126="S",OR(N126="H",N126="M")),"Yes","")</f>
        <v/>
      </c>
      <c r="R126" s="9" t="s">
        <v>50</v>
      </c>
      <c r="S126" s="14" t="str">
        <f aca="false">IF(A126="","",IFERROR(IF(OR(VLOOKUP(A126,AutoEvidence!$A$2:$G$400,2,FALSE())="Collected",VLOOKUP(A126,AutoEvidence!$A$2:$G$400,2,FALSE())="Partial"),VLOOKUP(A126,AutoEvidence!$A$2:$G$400,3,FALSE())&amp;" ("&amp;VLOOKUP(A126,AutoEvidence!$A$2:$G$400,2,FALSE())&amp;")",VLOOKUP(A126,AutoEvidence!$A$2:$G$400,2,FALSE())),""))</f>
        <v/>
      </c>
      <c r="T126" s="7" t="str">
        <f aca="false">IF(A126="","",IFERROR(VLOOKUP(A126,AutoEvidence!$A$2:$G$400,4,FALSE())&amp;"",""))</f>
        <v/>
      </c>
      <c r="U126" s="6"/>
      <c r="V126" s="6"/>
      <c r="W126" s="9"/>
      <c r="X126" s="6"/>
      <c r="Y126" s="6"/>
      <c r="Z126" s="9"/>
      <c r="AA126" s="15"/>
      <c r="AB126" s="13" t="str">
        <f aca="false">IF(M126="Gap",1,IF(M126="OK",0,""))</f>
        <v/>
      </c>
      <c r="AC126" s="16" t="str">
        <f aca="false">IF(P126&lt;&gt;"",VALUE(RIGHT(P126,1))*1000+ROW(),"")</f>
        <v/>
      </c>
      <c r="AD126" s="16" t="str">
        <f aca="false">IF(ISNUMBER(L126),MIN(L126,K126),"")</f>
        <v/>
      </c>
      <c r="AE126" s="16" t="str">
        <f aca="false">IF(AND(ISNUMBER(SEARCH(" PA "," "&amp;SUBSTITUTE($I126,","," ")&amp;" ")),ISNUMBER($L126)),$L126,"")</f>
        <v/>
      </c>
      <c r="AF126" s="16" t="str">
        <f aca="false">IF(AND(ISNUMBER(SEARCH(" PO "," "&amp;SUBSTITUTE($I126,","," ")&amp;" ")),ISNUMBER($L126)),$L126,"")</f>
        <v/>
      </c>
      <c r="AG126" s="16" t="str">
        <f aca="false">IF(AND(ISNUMBER(SEARCH(" MFA "," "&amp;SUBSTITUTE($I126,","," ")&amp;" ")),ISNUMBER($L126)),$L126,"")</f>
        <v/>
      </c>
      <c r="AH126" s="16" t="str">
        <f aca="false">IF(AND(ISNUMBER(SEARCH(" RAP "," "&amp;SUBSTITUTE($I126,","," ")&amp;" ")),ISNUMBER($L126)),$L126,"")</f>
        <v/>
      </c>
      <c r="AI126" s="16" t="str">
        <f aca="false">IF(AND(ISNUMBER(SEARCH(" AC "," "&amp;SUBSTITUTE($I126,","," ")&amp;" ")),ISNUMBER($L126)),$L126,"")</f>
        <v/>
      </c>
      <c r="AJ126" s="16" t="str">
        <f aca="false">IF(AND(ISNUMBER(SEARCH(" MAC "," "&amp;SUBSTITUTE($I126,","," ")&amp;" ")),ISNUMBER($L126)),$L126,"")</f>
        <v/>
      </c>
      <c r="AK126" s="16" t="str">
        <f aca="false">IF(AND(ISNUMBER(SEARCH(" UAH "," "&amp;SUBSTITUTE($I126,","," ")&amp;" ")),ISNUMBER($L126)),$L126,"")</f>
        <v/>
      </c>
      <c r="AL126" s="16" t="str">
        <f aca="false">IF(AND(ISNUMBER(SEARCH(" RB "," "&amp;SUBSTITUTE($I126,","," ")&amp;" ")),ISNUMBER($L126)),$L126,"")</f>
        <v/>
      </c>
    </row>
    <row r="127" customFormat="false" ht="69" hidden="false" customHeight="true" outlineLevel="0" collapsed="false">
      <c r="A127" s="4" t="s">
        <v>938</v>
      </c>
      <c r="B127" s="5" t="s">
        <v>907</v>
      </c>
      <c r="C127" s="5" t="s">
        <v>908</v>
      </c>
      <c r="D127" s="5" t="s">
        <v>939</v>
      </c>
      <c r="E127" s="5" t="s">
        <v>940</v>
      </c>
      <c r="F127" s="5" t="s">
        <v>941</v>
      </c>
      <c r="G127" s="5" t="s">
        <v>942</v>
      </c>
      <c r="H127" s="5" t="s">
        <v>943</v>
      </c>
      <c r="I127" s="13"/>
      <c r="J127" s="13" t="s">
        <v>50</v>
      </c>
      <c r="K127" s="9" t="n">
        <v>2</v>
      </c>
      <c r="L127" s="9"/>
      <c r="M127" s="13" t="str">
        <f aca="false">IF(ISNUMBER(L127),IF(L127&lt;K127,"Gap","OK"),IF(L127="N/A","N/A",""))</f>
        <v/>
      </c>
      <c r="N127" s="9"/>
      <c r="O127" s="9"/>
      <c r="P127" s="13" t="str">
        <f aca="false">IF(AND(M127="Gap",N127&lt;&gt;"",O127&lt;&gt;""),VLOOKUP(N127&amp;O127,Lists!$H$4:$I$12,2,FALSE()),"")</f>
        <v/>
      </c>
      <c r="Q127" s="13" t="str">
        <f aca="false">IF(AND(M127="Gap",O127="S",OR(N127="H",N127="M")),"Yes","")</f>
        <v/>
      </c>
      <c r="R127" s="9" t="s">
        <v>50</v>
      </c>
      <c r="S127" s="14" t="str">
        <f aca="false">IF(A127="","",IFERROR(IF(OR(VLOOKUP(A127,AutoEvidence!$A$2:$G$400,2,FALSE())="Collected",VLOOKUP(A127,AutoEvidence!$A$2:$G$400,2,FALSE())="Partial"),VLOOKUP(A127,AutoEvidence!$A$2:$G$400,3,FALSE())&amp;" ("&amp;VLOOKUP(A127,AutoEvidence!$A$2:$G$400,2,FALSE())&amp;")",VLOOKUP(A127,AutoEvidence!$A$2:$G$400,2,FALSE())),""))</f>
        <v/>
      </c>
      <c r="T127" s="7" t="str">
        <f aca="false">IF(A127="","",IFERROR(VLOOKUP(A127,AutoEvidence!$A$2:$G$400,4,FALSE())&amp;"",""))</f>
        <v/>
      </c>
      <c r="U127" s="6"/>
      <c r="V127" s="6"/>
      <c r="W127" s="9"/>
      <c r="X127" s="6"/>
      <c r="Y127" s="6"/>
      <c r="Z127" s="9"/>
      <c r="AA127" s="15"/>
      <c r="AB127" s="13" t="str">
        <f aca="false">IF(M127="Gap",1,IF(M127="OK",0,""))</f>
        <v/>
      </c>
      <c r="AC127" s="16" t="str">
        <f aca="false">IF(P127&lt;&gt;"",VALUE(RIGHT(P127,1))*1000+ROW(),"")</f>
        <v/>
      </c>
      <c r="AD127" s="16" t="str">
        <f aca="false">IF(ISNUMBER(L127),MIN(L127,K127),"")</f>
        <v/>
      </c>
      <c r="AE127" s="16" t="str">
        <f aca="false">IF(AND(ISNUMBER(SEARCH(" PA "," "&amp;SUBSTITUTE($I127,","," ")&amp;" ")),ISNUMBER($L127)),$L127,"")</f>
        <v/>
      </c>
      <c r="AF127" s="16" t="str">
        <f aca="false">IF(AND(ISNUMBER(SEARCH(" PO "," "&amp;SUBSTITUTE($I127,","," ")&amp;" ")),ISNUMBER($L127)),$L127,"")</f>
        <v/>
      </c>
      <c r="AG127" s="16" t="str">
        <f aca="false">IF(AND(ISNUMBER(SEARCH(" MFA "," "&amp;SUBSTITUTE($I127,","," ")&amp;" ")),ISNUMBER($L127)),$L127,"")</f>
        <v/>
      </c>
      <c r="AH127" s="16" t="str">
        <f aca="false">IF(AND(ISNUMBER(SEARCH(" RAP "," "&amp;SUBSTITUTE($I127,","," ")&amp;" ")),ISNUMBER($L127)),$L127,"")</f>
        <v/>
      </c>
      <c r="AI127" s="16" t="str">
        <f aca="false">IF(AND(ISNUMBER(SEARCH(" AC "," "&amp;SUBSTITUTE($I127,","," ")&amp;" ")),ISNUMBER($L127)),$L127,"")</f>
        <v/>
      </c>
      <c r="AJ127" s="16" t="str">
        <f aca="false">IF(AND(ISNUMBER(SEARCH(" MAC "," "&amp;SUBSTITUTE($I127,","," ")&amp;" ")),ISNUMBER($L127)),$L127,"")</f>
        <v/>
      </c>
      <c r="AK127" s="16" t="str">
        <f aca="false">IF(AND(ISNUMBER(SEARCH(" UAH "," "&amp;SUBSTITUTE($I127,","," ")&amp;" ")),ISNUMBER($L127)),$L127,"")</f>
        <v/>
      </c>
      <c r="AL127" s="16" t="str">
        <f aca="false">IF(AND(ISNUMBER(SEARCH(" RB "," "&amp;SUBSTITUTE($I127,","," ")&amp;" ")),ISNUMBER($L127)),$L127,"")</f>
        <v/>
      </c>
    </row>
    <row r="128" customFormat="false" ht="55.5" hidden="false" customHeight="true" outlineLevel="0" collapsed="false">
      <c r="A128" s="4" t="s">
        <v>944</v>
      </c>
      <c r="B128" s="5" t="s">
        <v>907</v>
      </c>
      <c r="C128" s="5" t="s">
        <v>908</v>
      </c>
      <c r="D128" s="5" t="s">
        <v>945</v>
      </c>
      <c r="E128" s="5" t="s">
        <v>946</v>
      </c>
      <c r="F128" s="5" t="s">
        <v>947</v>
      </c>
      <c r="G128" s="5" t="s">
        <v>948</v>
      </c>
      <c r="H128" s="5" t="s">
        <v>949</v>
      </c>
      <c r="I128" s="13"/>
      <c r="J128" s="13" t="s">
        <v>46</v>
      </c>
      <c r="K128" s="9" t="n">
        <v>2</v>
      </c>
      <c r="L128" s="9"/>
      <c r="M128" s="13" t="str">
        <f aca="false">IF(ISNUMBER(L128),IF(L128&lt;K128,"Gap","OK"),IF(L128="N/A","N/A",""))</f>
        <v/>
      </c>
      <c r="N128" s="9"/>
      <c r="O128" s="9"/>
      <c r="P128" s="13" t="str">
        <f aca="false">IF(AND(M128="Gap",N128&lt;&gt;"",O128&lt;&gt;""),VLOOKUP(N128&amp;O128,Lists!$H$4:$I$12,2,FALSE()),"")</f>
        <v/>
      </c>
      <c r="Q128" s="13" t="str">
        <f aca="false">IF(AND(M128="Gap",O128="S",OR(N128="H",N128="M")),"Yes","")</f>
        <v/>
      </c>
      <c r="R128" s="9" t="s">
        <v>46</v>
      </c>
      <c r="S128" s="14" t="str">
        <f aca="false">IF(A128="","",IFERROR(IF(OR(VLOOKUP(A128,AutoEvidence!$A$2:$G$400,2,FALSE())="Collected",VLOOKUP(A128,AutoEvidence!$A$2:$G$400,2,FALSE())="Partial"),VLOOKUP(A128,AutoEvidence!$A$2:$G$400,3,FALSE())&amp;" ("&amp;VLOOKUP(A128,AutoEvidence!$A$2:$G$400,2,FALSE())&amp;")",VLOOKUP(A128,AutoEvidence!$A$2:$G$400,2,FALSE())),""))</f>
        <v/>
      </c>
      <c r="T128" s="7" t="str">
        <f aca="false">IF(A128="","",IFERROR(VLOOKUP(A128,AutoEvidence!$A$2:$G$400,4,FALSE())&amp;"",""))</f>
        <v/>
      </c>
      <c r="U128" s="6"/>
      <c r="V128" s="6"/>
      <c r="W128" s="9"/>
      <c r="X128" s="6"/>
      <c r="Y128" s="6"/>
      <c r="Z128" s="9"/>
      <c r="AA128" s="15"/>
      <c r="AB128" s="13" t="str">
        <f aca="false">IF(M128="Gap",1,IF(M128="OK",0,""))</f>
        <v/>
      </c>
      <c r="AC128" s="16" t="str">
        <f aca="false">IF(P128&lt;&gt;"",VALUE(RIGHT(P128,1))*1000+ROW(),"")</f>
        <v/>
      </c>
      <c r="AD128" s="16" t="str">
        <f aca="false">IF(ISNUMBER(L128),MIN(L128,K128),"")</f>
        <v/>
      </c>
      <c r="AE128" s="16" t="str">
        <f aca="false">IF(AND(ISNUMBER(SEARCH(" PA "," "&amp;SUBSTITUTE($I128,","," ")&amp;" ")),ISNUMBER($L128)),$L128,"")</f>
        <v/>
      </c>
      <c r="AF128" s="16" t="str">
        <f aca="false">IF(AND(ISNUMBER(SEARCH(" PO "," "&amp;SUBSTITUTE($I128,","," ")&amp;" ")),ISNUMBER($L128)),$L128,"")</f>
        <v/>
      </c>
      <c r="AG128" s="16" t="str">
        <f aca="false">IF(AND(ISNUMBER(SEARCH(" MFA "," "&amp;SUBSTITUTE($I128,","," ")&amp;" ")),ISNUMBER($L128)),$L128,"")</f>
        <v/>
      </c>
      <c r="AH128" s="16" t="str">
        <f aca="false">IF(AND(ISNUMBER(SEARCH(" RAP "," "&amp;SUBSTITUTE($I128,","," ")&amp;" ")),ISNUMBER($L128)),$L128,"")</f>
        <v/>
      </c>
      <c r="AI128" s="16" t="str">
        <f aca="false">IF(AND(ISNUMBER(SEARCH(" AC "," "&amp;SUBSTITUTE($I128,","," ")&amp;" ")),ISNUMBER($L128)),$L128,"")</f>
        <v/>
      </c>
      <c r="AJ128" s="16" t="str">
        <f aca="false">IF(AND(ISNUMBER(SEARCH(" MAC "," "&amp;SUBSTITUTE($I128,","," ")&amp;" ")),ISNUMBER($L128)),$L128,"")</f>
        <v/>
      </c>
      <c r="AK128" s="16" t="str">
        <f aca="false">IF(AND(ISNUMBER(SEARCH(" UAH "," "&amp;SUBSTITUTE($I128,","," ")&amp;" ")),ISNUMBER($L128)),$L128,"")</f>
        <v/>
      </c>
      <c r="AL128" s="16" t="str">
        <f aca="false">IF(AND(ISNUMBER(SEARCH(" RB "," "&amp;SUBSTITUTE($I128,","," ")&amp;" ")),ISNUMBER($L128)),$L128,"")</f>
        <v/>
      </c>
    </row>
    <row r="129" customFormat="false" ht="55.5" hidden="false" customHeight="true" outlineLevel="0" collapsed="false">
      <c r="A129" s="4" t="s">
        <v>950</v>
      </c>
      <c r="B129" s="5" t="s">
        <v>907</v>
      </c>
      <c r="C129" s="5" t="s">
        <v>908</v>
      </c>
      <c r="D129" s="5" t="s">
        <v>951</v>
      </c>
      <c r="E129" s="5" t="s">
        <v>952</v>
      </c>
      <c r="F129" s="5" t="s">
        <v>953</v>
      </c>
      <c r="G129" s="5" t="s">
        <v>954</v>
      </c>
      <c r="H129" s="5" t="s">
        <v>955</v>
      </c>
      <c r="I129" s="13"/>
      <c r="J129" s="13" t="s">
        <v>46</v>
      </c>
      <c r="K129" s="9" t="n">
        <v>2</v>
      </c>
      <c r="L129" s="9"/>
      <c r="M129" s="13" t="str">
        <f aca="false">IF(ISNUMBER(L129),IF(L129&lt;K129,"Gap","OK"),IF(L129="N/A","N/A",""))</f>
        <v/>
      </c>
      <c r="N129" s="9"/>
      <c r="O129" s="9"/>
      <c r="P129" s="13" t="str">
        <f aca="false">IF(AND(M129="Gap",N129&lt;&gt;"",O129&lt;&gt;""),VLOOKUP(N129&amp;O129,Lists!$H$4:$I$12,2,FALSE()),"")</f>
        <v/>
      </c>
      <c r="Q129" s="13" t="str">
        <f aca="false">IF(AND(M129="Gap",O129="S",OR(N129="H",N129="M")),"Yes","")</f>
        <v/>
      </c>
      <c r="R129" s="9" t="s">
        <v>46</v>
      </c>
      <c r="S129" s="14" t="str">
        <f aca="false">IF(A129="","",IFERROR(IF(OR(VLOOKUP(A129,AutoEvidence!$A$2:$G$400,2,FALSE())="Collected",VLOOKUP(A129,AutoEvidence!$A$2:$G$400,2,FALSE())="Partial"),VLOOKUP(A129,AutoEvidence!$A$2:$G$400,3,FALSE())&amp;" ("&amp;VLOOKUP(A129,AutoEvidence!$A$2:$G$400,2,FALSE())&amp;")",VLOOKUP(A129,AutoEvidence!$A$2:$G$400,2,FALSE())),""))</f>
        <v/>
      </c>
      <c r="T129" s="7" t="str">
        <f aca="false">IF(A129="","",IFERROR(VLOOKUP(A129,AutoEvidence!$A$2:$G$400,4,FALSE())&amp;"",""))</f>
        <v/>
      </c>
      <c r="U129" s="6"/>
      <c r="V129" s="6"/>
      <c r="W129" s="9"/>
      <c r="X129" s="6"/>
      <c r="Y129" s="6"/>
      <c r="Z129" s="9"/>
      <c r="AA129" s="15"/>
      <c r="AB129" s="13" t="str">
        <f aca="false">IF(M129="Gap",1,IF(M129="OK",0,""))</f>
        <v/>
      </c>
      <c r="AC129" s="16" t="str">
        <f aca="false">IF(P129&lt;&gt;"",VALUE(RIGHT(P129,1))*1000+ROW(),"")</f>
        <v/>
      </c>
      <c r="AD129" s="16" t="str">
        <f aca="false">IF(ISNUMBER(L129),MIN(L129,K129),"")</f>
        <v/>
      </c>
      <c r="AE129" s="16" t="str">
        <f aca="false">IF(AND(ISNUMBER(SEARCH(" PA "," "&amp;SUBSTITUTE($I129,","," ")&amp;" ")),ISNUMBER($L129)),$L129,"")</f>
        <v/>
      </c>
      <c r="AF129" s="16" t="str">
        <f aca="false">IF(AND(ISNUMBER(SEARCH(" PO "," "&amp;SUBSTITUTE($I129,","," ")&amp;" ")),ISNUMBER($L129)),$L129,"")</f>
        <v/>
      </c>
      <c r="AG129" s="16" t="str">
        <f aca="false">IF(AND(ISNUMBER(SEARCH(" MFA "," "&amp;SUBSTITUTE($I129,","," ")&amp;" ")),ISNUMBER($L129)),$L129,"")</f>
        <v/>
      </c>
      <c r="AH129" s="16" t="str">
        <f aca="false">IF(AND(ISNUMBER(SEARCH(" RAP "," "&amp;SUBSTITUTE($I129,","," ")&amp;" ")),ISNUMBER($L129)),$L129,"")</f>
        <v/>
      </c>
      <c r="AI129" s="16" t="str">
        <f aca="false">IF(AND(ISNUMBER(SEARCH(" AC "," "&amp;SUBSTITUTE($I129,","," ")&amp;" ")),ISNUMBER($L129)),$L129,"")</f>
        <v/>
      </c>
      <c r="AJ129" s="16" t="str">
        <f aca="false">IF(AND(ISNUMBER(SEARCH(" MAC "," "&amp;SUBSTITUTE($I129,","," ")&amp;" ")),ISNUMBER($L129)),$L129,"")</f>
        <v/>
      </c>
      <c r="AK129" s="16" t="str">
        <f aca="false">IF(AND(ISNUMBER(SEARCH(" UAH "," "&amp;SUBSTITUTE($I129,","," ")&amp;" ")),ISNUMBER($L129)),$L129,"")</f>
        <v/>
      </c>
      <c r="AL129" s="16" t="str">
        <f aca="false">IF(AND(ISNUMBER(SEARCH(" RB "," "&amp;SUBSTITUTE($I129,","," ")&amp;" ")),ISNUMBER($L129)),$L129,"")</f>
        <v/>
      </c>
    </row>
    <row r="130" customFormat="false" ht="15" hidden="false" customHeight="false" outlineLevel="0" collapsed="false">
      <c r="M130" s="13" t="str">
        <f aca="false">IF(ISNUMBER(L130),IF(L130&lt;K130,"Gap","OK"),IF(L130="N/A","N/A",""))</f>
        <v/>
      </c>
      <c r="P130" s="13" t="str">
        <f aca="false">IF(AND(M130="Gap",N130&lt;&gt;"",O130&lt;&gt;""),VLOOKUP(N130&amp;O130,Lists!$H$4:$I$12,2,FALSE()),"")</f>
        <v/>
      </c>
      <c r="Q130" s="13" t="str">
        <f aca="false">IF(AND(M130="Gap",O130="S",OR(N130="H",N130="M")),"Yes","")</f>
        <v/>
      </c>
      <c r="S130" s="14" t="str">
        <f aca="false">IF(A130="","",IFERROR(IF(OR(VLOOKUP(A130,AutoEvidence!$A$2:$G$400,2,FALSE())="Collected",VLOOKUP(A130,AutoEvidence!$A$2:$G$400,2,FALSE())="Partial"),VLOOKUP(A130,AutoEvidence!$A$2:$G$400,3,FALSE())&amp;" ("&amp;VLOOKUP(A130,AutoEvidence!$A$2:$G$400,2,FALSE())&amp;")",VLOOKUP(A130,AutoEvidence!$A$2:$G$400,2,FALSE())),""))</f>
        <v/>
      </c>
      <c r="T130" s="7" t="str">
        <f aca="false">IF(A130="","",IFERROR(VLOOKUP(A130,AutoEvidence!$A$2:$G$400,4,FALSE())&amp;"",""))</f>
        <v/>
      </c>
      <c r="AB130" s="13" t="str">
        <f aca="false">IF(M130="Gap",1,IF(M130="OK",0,""))</f>
        <v/>
      </c>
      <c r="AC130" s="16" t="str">
        <f aca="false">IF(P130&lt;&gt;"",VALUE(RIGHT(P130,1))*1000+ROW(),"")</f>
        <v/>
      </c>
      <c r="AD130" s="16" t="str">
        <f aca="false">IF(ISNUMBER(L130),MIN(L130,K130),"")</f>
        <v/>
      </c>
      <c r="AE130" s="16" t="str">
        <f aca="false">IF(AND(ISNUMBER(SEARCH(" PA "," "&amp;SUBSTITUTE($I130,","," ")&amp;" ")),ISNUMBER($L130)),$L130,"")</f>
        <v/>
      </c>
      <c r="AF130" s="16" t="str">
        <f aca="false">IF(AND(ISNUMBER(SEARCH(" PO "," "&amp;SUBSTITUTE($I130,","," ")&amp;" ")),ISNUMBER($L130)),$L130,"")</f>
        <v/>
      </c>
      <c r="AG130" s="16" t="str">
        <f aca="false">IF(AND(ISNUMBER(SEARCH(" MFA "," "&amp;SUBSTITUTE($I130,","," ")&amp;" ")),ISNUMBER($L130)),$L130,"")</f>
        <v/>
      </c>
      <c r="AH130" s="16" t="str">
        <f aca="false">IF(AND(ISNUMBER(SEARCH(" RAP "," "&amp;SUBSTITUTE($I130,","," ")&amp;" ")),ISNUMBER($L130)),$L130,"")</f>
        <v/>
      </c>
      <c r="AI130" s="16" t="str">
        <f aca="false">IF(AND(ISNUMBER(SEARCH(" AC "," "&amp;SUBSTITUTE($I130,","," ")&amp;" ")),ISNUMBER($L130)),$L130,"")</f>
        <v/>
      </c>
      <c r="AJ130" s="16" t="str">
        <f aca="false">IF(AND(ISNUMBER(SEARCH(" MAC "," "&amp;SUBSTITUTE($I130,","," ")&amp;" ")),ISNUMBER($L130)),$L130,"")</f>
        <v/>
      </c>
      <c r="AK130" s="16" t="str">
        <f aca="false">IF(AND(ISNUMBER(SEARCH(" UAH "," "&amp;SUBSTITUTE($I130,","," ")&amp;" ")),ISNUMBER($L130)),$L130,"")</f>
        <v/>
      </c>
      <c r="AL130" s="16" t="str">
        <f aca="false">IF(AND(ISNUMBER(SEARCH(" RB "," "&amp;SUBSTITUTE($I130,","," ")&amp;" ")),ISNUMBER($L130)),$L130,"")</f>
        <v/>
      </c>
    </row>
    <row r="131" customFormat="false" ht="15" hidden="false" customHeight="false" outlineLevel="0" collapsed="false">
      <c r="M131" s="13" t="str">
        <f aca="false">IF(ISNUMBER(L131),IF(L131&lt;K131,"Gap","OK"),IF(L131="N/A","N/A",""))</f>
        <v/>
      </c>
      <c r="P131" s="13" t="str">
        <f aca="false">IF(AND(M131="Gap",N131&lt;&gt;"",O131&lt;&gt;""),VLOOKUP(N131&amp;O131,Lists!$H$4:$I$12,2,FALSE()),"")</f>
        <v/>
      </c>
      <c r="Q131" s="13" t="str">
        <f aca="false">IF(AND(M131="Gap",O131="S",OR(N131="H",N131="M")),"Yes","")</f>
        <v/>
      </c>
      <c r="S131" s="14" t="str">
        <f aca="false">IF(A131="","",IFERROR(IF(OR(VLOOKUP(A131,AutoEvidence!$A$2:$G$400,2,FALSE())="Collected",VLOOKUP(A131,AutoEvidence!$A$2:$G$400,2,FALSE())="Partial"),VLOOKUP(A131,AutoEvidence!$A$2:$G$400,3,FALSE())&amp;" ("&amp;VLOOKUP(A131,AutoEvidence!$A$2:$G$400,2,FALSE())&amp;")",VLOOKUP(A131,AutoEvidence!$A$2:$G$400,2,FALSE())),""))</f>
        <v/>
      </c>
      <c r="T131" s="7" t="str">
        <f aca="false">IF(A131="","",IFERROR(VLOOKUP(A131,AutoEvidence!$A$2:$G$400,4,FALSE())&amp;"",""))</f>
        <v/>
      </c>
      <c r="AB131" s="13" t="str">
        <f aca="false">IF(M131="Gap",1,IF(M131="OK",0,""))</f>
        <v/>
      </c>
      <c r="AC131" s="16" t="str">
        <f aca="false">IF(P131&lt;&gt;"",VALUE(RIGHT(P131,1))*1000+ROW(),"")</f>
        <v/>
      </c>
      <c r="AD131" s="16" t="str">
        <f aca="false">IF(ISNUMBER(L131),MIN(L131,K131),"")</f>
        <v/>
      </c>
      <c r="AE131" s="16" t="str">
        <f aca="false">IF(AND(ISNUMBER(SEARCH(" PA "," "&amp;SUBSTITUTE($I131,","," ")&amp;" ")),ISNUMBER($L131)),$L131,"")</f>
        <v/>
      </c>
      <c r="AF131" s="16" t="str">
        <f aca="false">IF(AND(ISNUMBER(SEARCH(" PO "," "&amp;SUBSTITUTE($I131,","," ")&amp;" ")),ISNUMBER($L131)),$L131,"")</f>
        <v/>
      </c>
      <c r="AG131" s="16" t="str">
        <f aca="false">IF(AND(ISNUMBER(SEARCH(" MFA "," "&amp;SUBSTITUTE($I131,","," ")&amp;" ")),ISNUMBER($L131)),$L131,"")</f>
        <v/>
      </c>
      <c r="AH131" s="16" t="str">
        <f aca="false">IF(AND(ISNUMBER(SEARCH(" RAP "," "&amp;SUBSTITUTE($I131,","," ")&amp;" ")),ISNUMBER($L131)),$L131,"")</f>
        <v/>
      </c>
      <c r="AI131" s="16" t="str">
        <f aca="false">IF(AND(ISNUMBER(SEARCH(" AC "," "&amp;SUBSTITUTE($I131,","," ")&amp;" ")),ISNUMBER($L131)),$L131,"")</f>
        <v/>
      </c>
      <c r="AJ131" s="16" t="str">
        <f aca="false">IF(AND(ISNUMBER(SEARCH(" MAC "," "&amp;SUBSTITUTE($I131,","," ")&amp;" ")),ISNUMBER($L131)),$L131,"")</f>
        <v/>
      </c>
      <c r="AK131" s="16" t="str">
        <f aca="false">IF(AND(ISNUMBER(SEARCH(" UAH "," "&amp;SUBSTITUTE($I131,","," ")&amp;" ")),ISNUMBER($L131)),$L131,"")</f>
        <v/>
      </c>
      <c r="AL131" s="16" t="str">
        <f aca="false">IF(AND(ISNUMBER(SEARCH(" RB "," "&amp;SUBSTITUTE($I131,","," ")&amp;" ")),ISNUMBER($L131)),$L131,"")</f>
        <v/>
      </c>
    </row>
    <row r="132" customFormat="false" ht="15" hidden="false" customHeight="false" outlineLevel="0" collapsed="false">
      <c r="M132" s="13" t="str">
        <f aca="false">IF(ISNUMBER(L132),IF(L132&lt;K132,"Gap","OK"),IF(L132="N/A","N/A",""))</f>
        <v/>
      </c>
      <c r="P132" s="13" t="str">
        <f aca="false">IF(AND(M132="Gap",N132&lt;&gt;"",O132&lt;&gt;""),VLOOKUP(N132&amp;O132,Lists!$H$4:$I$12,2,FALSE()),"")</f>
        <v/>
      </c>
      <c r="Q132" s="13" t="str">
        <f aca="false">IF(AND(M132="Gap",O132="S",OR(N132="H",N132="M")),"Yes","")</f>
        <v/>
      </c>
      <c r="S132" s="14" t="str">
        <f aca="false">IF(A132="","",IFERROR(IF(OR(VLOOKUP(A132,AutoEvidence!$A$2:$G$400,2,FALSE())="Collected",VLOOKUP(A132,AutoEvidence!$A$2:$G$400,2,FALSE())="Partial"),VLOOKUP(A132,AutoEvidence!$A$2:$G$400,3,FALSE())&amp;" ("&amp;VLOOKUP(A132,AutoEvidence!$A$2:$G$400,2,FALSE())&amp;")",VLOOKUP(A132,AutoEvidence!$A$2:$G$400,2,FALSE())),""))</f>
        <v/>
      </c>
      <c r="T132" s="7" t="str">
        <f aca="false">IF(A132="","",IFERROR(VLOOKUP(A132,AutoEvidence!$A$2:$G$400,4,FALSE())&amp;"",""))</f>
        <v/>
      </c>
      <c r="AB132" s="13" t="str">
        <f aca="false">IF(M132="Gap",1,IF(M132="OK",0,""))</f>
        <v/>
      </c>
      <c r="AC132" s="16" t="str">
        <f aca="false">IF(P132&lt;&gt;"",VALUE(RIGHT(P132,1))*1000+ROW(),"")</f>
        <v/>
      </c>
      <c r="AD132" s="16" t="str">
        <f aca="false">IF(ISNUMBER(L132),MIN(L132,K132),"")</f>
        <v/>
      </c>
      <c r="AE132" s="16" t="str">
        <f aca="false">IF(AND(ISNUMBER(SEARCH(" PA "," "&amp;SUBSTITUTE($I132,","," ")&amp;" ")),ISNUMBER($L132)),$L132,"")</f>
        <v/>
      </c>
      <c r="AF132" s="16" t="str">
        <f aca="false">IF(AND(ISNUMBER(SEARCH(" PO "," "&amp;SUBSTITUTE($I132,","," ")&amp;" ")),ISNUMBER($L132)),$L132,"")</f>
        <v/>
      </c>
      <c r="AG132" s="16" t="str">
        <f aca="false">IF(AND(ISNUMBER(SEARCH(" MFA "," "&amp;SUBSTITUTE($I132,","," ")&amp;" ")),ISNUMBER($L132)),$L132,"")</f>
        <v/>
      </c>
      <c r="AH132" s="16" t="str">
        <f aca="false">IF(AND(ISNUMBER(SEARCH(" RAP "," "&amp;SUBSTITUTE($I132,","," ")&amp;" ")),ISNUMBER($L132)),$L132,"")</f>
        <v/>
      </c>
      <c r="AI132" s="16" t="str">
        <f aca="false">IF(AND(ISNUMBER(SEARCH(" AC "," "&amp;SUBSTITUTE($I132,","," ")&amp;" ")),ISNUMBER($L132)),$L132,"")</f>
        <v/>
      </c>
      <c r="AJ132" s="16" t="str">
        <f aca="false">IF(AND(ISNUMBER(SEARCH(" MAC "," "&amp;SUBSTITUTE($I132,","," ")&amp;" ")),ISNUMBER($L132)),$L132,"")</f>
        <v/>
      </c>
      <c r="AK132" s="16" t="str">
        <f aca="false">IF(AND(ISNUMBER(SEARCH(" UAH "," "&amp;SUBSTITUTE($I132,","," ")&amp;" ")),ISNUMBER($L132)),$L132,"")</f>
        <v/>
      </c>
      <c r="AL132" s="16" t="str">
        <f aca="false">IF(AND(ISNUMBER(SEARCH(" RB "," "&amp;SUBSTITUTE($I132,","," ")&amp;" ")),ISNUMBER($L132)),$L132,"")</f>
        <v/>
      </c>
    </row>
    <row r="133" customFormat="false" ht="15" hidden="false" customHeight="false" outlineLevel="0" collapsed="false">
      <c r="M133" s="13" t="str">
        <f aca="false">IF(ISNUMBER(L133),IF(L133&lt;K133,"Gap","OK"),IF(L133="N/A","N/A",""))</f>
        <v/>
      </c>
      <c r="P133" s="13" t="str">
        <f aca="false">IF(AND(M133="Gap",N133&lt;&gt;"",O133&lt;&gt;""),VLOOKUP(N133&amp;O133,Lists!$H$4:$I$12,2,FALSE()),"")</f>
        <v/>
      </c>
      <c r="Q133" s="13" t="str">
        <f aca="false">IF(AND(M133="Gap",O133="S",OR(N133="H",N133="M")),"Yes","")</f>
        <v/>
      </c>
      <c r="S133" s="14" t="str">
        <f aca="false">IF(A133="","",IFERROR(IF(OR(VLOOKUP(A133,AutoEvidence!$A$2:$G$400,2,FALSE())="Collected",VLOOKUP(A133,AutoEvidence!$A$2:$G$400,2,FALSE())="Partial"),VLOOKUP(A133,AutoEvidence!$A$2:$G$400,3,FALSE())&amp;" ("&amp;VLOOKUP(A133,AutoEvidence!$A$2:$G$400,2,FALSE())&amp;")",VLOOKUP(A133,AutoEvidence!$A$2:$G$400,2,FALSE())),""))</f>
        <v/>
      </c>
      <c r="T133" s="7" t="str">
        <f aca="false">IF(A133="","",IFERROR(VLOOKUP(A133,AutoEvidence!$A$2:$G$400,4,FALSE())&amp;"",""))</f>
        <v/>
      </c>
      <c r="AB133" s="13" t="str">
        <f aca="false">IF(M133="Gap",1,IF(M133="OK",0,""))</f>
        <v/>
      </c>
      <c r="AC133" s="16" t="str">
        <f aca="false">IF(P133&lt;&gt;"",VALUE(RIGHT(P133,1))*1000+ROW(),"")</f>
        <v/>
      </c>
      <c r="AD133" s="16" t="str">
        <f aca="false">IF(ISNUMBER(L133),MIN(L133,K133),"")</f>
        <v/>
      </c>
      <c r="AE133" s="16" t="str">
        <f aca="false">IF(AND(ISNUMBER(SEARCH(" PA "," "&amp;SUBSTITUTE($I133,","," ")&amp;" ")),ISNUMBER($L133)),$L133,"")</f>
        <v/>
      </c>
      <c r="AF133" s="16" t="str">
        <f aca="false">IF(AND(ISNUMBER(SEARCH(" PO "," "&amp;SUBSTITUTE($I133,","," ")&amp;" ")),ISNUMBER($L133)),$L133,"")</f>
        <v/>
      </c>
      <c r="AG133" s="16" t="str">
        <f aca="false">IF(AND(ISNUMBER(SEARCH(" MFA "," "&amp;SUBSTITUTE($I133,","," ")&amp;" ")),ISNUMBER($L133)),$L133,"")</f>
        <v/>
      </c>
      <c r="AH133" s="16" t="str">
        <f aca="false">IF(AND(ISNUMBER(SEARCH(" RAP "," "&amp;SUBSTITUTE($I133,","," ")&amp;" ")),ISNUMBER($L133)),$L133,"")</f>
        <v/>
      </c>
      <c r="AI133" s="16" t="str">
        <f aca="false">IF(AND(ISNUMBER(SEARCH(" AC "," "&amp;SUBSTITUTE($I133,","," ")&amp;" ")),ISNUMBER($L133)),$L133,"")</f>
        <v/>
      </c>
      <c r="AJ133" s="16" t="str">
        <f aca="false">IF(AND(ISNUMBER(SEARCH(" MAC "," "&amp;SUBSTITUTE($I133,","," ")&amp;" ")),ISNUMBER($L133)),$L133,"")</f>
        <v/>
      </c>
      <c r="AK133" s="16" t="str">
        <f aca="false">IF(AND(ISNUMBER(SEARCH(" UAH "," "&amp;SUBSTITUTE($I133,","," ")&amp;" ")),ISNUMBER($L133)),$L133,"")</f>
        <v/>
      </c>
      <c r="AL133" s="16" t="str">
        <f aca="false">IF(AND(ISNUMBER(SEARCH(" RB "," "&amp;SUBSTITUTE($I133,","," ")&amp;" ")),ISNUMBER($L133)),$L133,"")</f>
        <v/>
      </c>
    </row>
    <row r="134" customFormat="false" ht="15" hidden="false" customHeight="false" outlineLevel="0" collapsed="false">
      <c r="M134" s="13" t="str">
        <f aca="false">IF(ISNUMBER(L134),IF(L134&lt;K134,"Gap","OK"),IF(L134="N/A","N/A",""))</f>
        <v/>
      </c>
      <c r="P134" s="13" t="str">
        <f aca="false">IF(AND(M134="Gap",N134&lt;&gt;"",O134&lt;&gt;""),VLOOKUP(N134&amp;O134,Lists!$H$4:$I$12,2,FALSE()),"")</f>
        <v/>
      </c>
      <c r="Q134" s="13" t="str">
        <f aca="false">IF(AND(M134="Gap",O134="S",OR(N134="H",N134="M")),"Yes","")</f>
        <v/>
      </c>
      <c r="S134" s="14" t="str">
        <f aca="false">IF(A134="","",IFERROR(IF(OR(VLOOKUP(A134,AutoEvidence!$A$2:$G$400,2,FALSE())="Collected",VLOOKUP(A134,AutoEvidence!$A$2:$G$400,2,FALSE())="Partial"),VLOOKUP(A134,AutoEvidence!$A$2:$G$400,3,FALSE())&amp;" ("&amp;VLOOKUP(A134,AutoEvidence!$A$2:$G$400,2,FALSE())&amp;")",VLOOKUP(A134,AutoEvidence!$A$2:$G$400,2,FALSE())),""))</f>
        <v/>
      </c>
      <c r="T134" s="7" t="str">
        <f aca="false">IF(A134="","",IFERROR(VLOOKUP(A134,AutoEvidence!$A$2:$G$400,4,FALSE())&amp;"",""))</f>
        <v/>
      </c>
      <c r="AB134" s="13" t="str">
        <f aca="false">IF(M134="Gap",1,IF(M134="OK",0,""))</f>
        <v/>
      </c>
      <c r="AC134" s="16" t="str">
        <f aca="false">IF(P134&lt;&gt;"",VALUE(RIGHT(P134,1))*1000+ROW(),"")</f>
        <v/>
      </c>
      <c r="AD134" s="16" t="str">
        <f aca="false">IF(ISNUMBER(L134),MIN(L134,K134),"")</f>
        <v/>
      </c>
      <c r="AE134" s="16" t="str">
        <f aca="false">IF(AND(ISNUMBER(SEARCH(" PA "," "&amp;SUBSTITUTE($I134,","," ")&amp;" ")),ISNUMBER($L134)),$L134,"")</f>
        <v/>
      </c>
      <c r="AF134" s="16" t="str">
        <f aca="false">IF(AND(ISNUMBER(SEARCH(" PO "," "&amp;SUBSTITUTE($I134,","," ")&amp;" ")),ISNUMBER($L134)),$L134,"")</f>
        <v/>
      </c>
      <c r="AG134" s="16" t="str">
        <f aca="false">IF(AND(ISNUMBER(SEARCH(" MFA "," "&amp;SUBSTITUTE($I134,","," ")&amp;" ")),ISNUMBER($L134)),$L134,"")</f>
        <v/>
      </c>
      <c r="AH134" s="16" t="str">
        <f aca="false">IF(AND(ISNUMBER(SEARCH(" RAP "," "&amp;SUBSTITUTE($I134,","," ")&amp;" ")),ISNUMBER($L134)),$L134,"")</f>
        <v/>
      </c>
      <c r="AI134" s="16" t="str">
        <f aca="false">IF(AND(ISNUMBER(SEARCH(" AC "," "&amp;SUBSTITUTE($I134,","," ")&amp;" ")),ISNUMBER($L134)),$L134,"")</f>
        <v/>
      </c>
      <c r="AJ134" s="16" t="str">
        <f aca="false">IF(AND(ISNUMBER(SEARCH(" MAC "," "&amp;SUBSTITUTE($I134,","," ")&amp;" ")),ISNUMBER($L134)),$L134,"")</f>
        <v/>
      </c>
      <c r="AK134" s="16" t="str">
        <f aca="false">IF(AND(ISNUMBER(SEARCH(" UAH "," "&amp;SUBSTITUTE($I134,","," ")&amp;" ")),ISNUMBER($L134)),$L134,"")</f>
        <v/>
      </c>
      <c r="AL134" s="16" t="str">
        <f aca="false">IF(AND(ISNUMBER(SEARCH(" RB "," "&amp;SUBSTITUTE($I134,","," ")&amp;" ")),ISNUMBER($L134)),$L134,"")</f>
        <v/>
      </c>
    </row>
    <row r="135" customFormat="false" ht="15" hidden="false" customHeight="false" outlineLevel="0" collapsed="false">
      <c r="M135" s="13" t="str">
        <f aca="false">IF(ISNUMBER(L135),IF(L135&lt;K135,"Gap","OK"),IF(L135="N/A","N/A",""))</f>
        <v/>
      </c>
      <c r="P135" s="13" t="str">
        <f aca="false">IF(AND(M135="Gap",N135&lt;&gt;"",O135&lt;&gt;""),VLOOKUP(N135&amp;O135,Lists!$H$4:$I$12,2,FALSE()),"")</f>
        <v/>
      </c>
      <c r="Q135" s="13" t="str">
        <f aca="false">IF(AND(M135="Gap",O135="S",OR(N135="H",N135="M")),"Yes","")</f>
        <v/>
      </c>
      <c r="S135" s="14" t="str">
        <f aca="false">IF(A135="","",IFERROR(IF(OR(VLOOKUP(A135,AutoEvidence!$A$2:$G$400,2,FALSE())="Collected",VLOOKUP(A135,AutoEvidence!$A$2:$G$400,2,FALSE())="Partial"),VLOOKUP(A135,AutoEvidence!$A$2:$G$400,3,FALSE())&amp;" ("&amp;VLOOKUP(A135,AutoEvidence!$A$2:$G$400,2,FALSE())&amp;")",VLOOKUP(A135,AutoEvidence!$A$2:$G$400,2,FALSE())),""))</f>
        <v/>
      </c>
      <c r="T135" s="7" t="str">
        <f aca="false">IF(A135="","",IFERROR(VLOOKUP(A135,AutoEvidence!$A$2:$G$400,4,FALSE())&amp;"",""))</f>
        <v/>
      </c>
      <c r="AB135" s="13" t="str">
        <f aca="false">IF(M135="Gap",1,IF(M135="OK",0,""))</f>
        <v/>
      </c>
      <c r="AC135" s="16" t="str">
        <f aca="false">IF(P135&lt;&gt;"",VALUE(RIGHT(P135,1))*1000+ROW(),"")</f>
        <v/>
      </c>
      <c r="AD135" s="16" t="str">
        <f aca="false">IF(ISNUMBER(L135),MIN(L135,K135),"")</f>
        <v/>
      </c>
      <c r="AE135" s="16" t="str">
        <f aca="false">IF(AND(ISNUMBER(SEARCH(" PA "," "&amp;SUBSTITUTE($I135,","," ")&amp;" ")),ISNUMBER($L135)),$L135,"")</f>
        <v/>
      </c>
      <c r="AF135" s="16" t="str">
        <f aca="false">IF(AND(ISNUMBER(SEARCH(" PO "," "&amp;SUBSTITUTE($I135,","," ")&amp;" ")),ISNUMBER($L135)),$L135,"")</f>
        <v/>
      </c>
      <c r="AG135" s="16" t="str">
        <f aca="false">IF(AND(ISNUMBER(SEARCH(" MFA "," "&amp;SUBSTITUTE($I135,","," ")&amp;" ")),ISNUMBER($L135)),$L135,"")</f>
        <v/>
      </c>
      <c r="AH135" s="16" t="str">
        <f aca="false">IF(AND(ISNUMBER(SEARCH(" RAP "," "&amp;SUBSTITUTE($I135,","," ")&amp;" ")),ISNUMBER($L135)),$L135,"")</f>
        <v/>
      </c>
      <c r="AI135" s="16" t="str">
        <f aca="false">IF(AND(ISNUMBER(SEARCH(" AC "," "&amp;SUBSTITUTE($I135,","," ")&amp;" ")),ISNUMBER($L135)),$L135,"")</f>
        <v/>
      </c>
      <c r="AJ135" s="16" t="str">
        <f aca="false">IF(AND(ISNUMBER(SEARCH(" MAC "," "&amp;SUBSTITUTE($I135,","," ")&amp;" ")),ISNUMBER($L135)),$L135,"")</f>
        <v/>
      </c>
      <c r="AK135" s="16" t="str">
        <f aca="false">IF(AND(ISNUMBER(SEARCH(" UAH "," "&amp;SUBSTITUTE($I135,","," ")&amp;" ")),ISNUMBER($L135)),$L135,"")</f>
        <v/>
      </c>
      <c r="AL135" s="16" t="str">
        <f aca="false">IF(AND(ISNUMBER(SEARCH(" RB "," "&amp;SUBSTITUTE($I135,","," ")&amp;" ")),ISNUMBER($L135)),$L135,"")</f>
        <v/>
      </c>
    </row>
    <row r="136" customFormat="false" ht="15" hidden="false" customHeight="false" outlineLevel="0" collapsed="false">
      <c r="M136" s="13" t="str">
        <f aca="false">IF(ISNUMBER(L136),IF(L136&lt;K136,"Gap","OK"),IF(L136="N/A","N/A",""))</f>
        <v/>
      </c>
      <c r="P136" s="13" t="str">
        <f aca="false">IF(AND(M136="Gap",N136&lt;&gt;"",O136&lt;&gt;""),VLOOKUP(N136&amp;O136,Lists!$H$4:$I$12,2,FALSE()),"")</f>
        <v/>
      </c>
      <c r="Q136" s="13" t="str">
        <f aca="false">IF(AND(M136="Gap",O136="S",OR(N136="H",N136="M")),"Yes","")</f>
        <v/>
      </c>
      <c r="S136" s="14" t="str">
        <f aca="false">IF(A136="","",IFERROR(IF(OR(VLOOKUP(A136,AutoEvidence!$A$2:$G$400,2,FALSE())="Collected",VLOOKUP(A136,AutoEvidence!$A$2:$G$400,2,FALSE())="Partial"),VLOOKUP(A136,AutoEvidence!$A$2:$G$400,3,FALSE())&amp;" ("&amp;VLOOKUP(A136,AutoEvidence!$A$2:$G$400,2,FALSE())&amp;")",VLOOKUP(A136,AutoEvidence!$A$2:$G$400,2,FALSE())),""))</f>
        <v/>
      </c>
      <c r="T136" s="7" t="str">
        <f aca="false">IF(A136="","",IFERROR(VLOOKUP(A136,AutoEvidence!$A$2:$G$400,4,FALSE())&amp;"",""))</f>
        <v/>
      </c>
      <c r="AB136" s="13" t="str">
        <f aca="false">IF(M136="Gap",1,IF(M136="OK",0,""))</f>
        <v/>
      </c>
      <c r="AC136" s="16" t="str">
        <f aca="false">IF(P136&lt;&gt;"",VALUE(RIGHT(P136,1))*1000+ROW(),"")</f>
        <v/>
      </c>
      <c r="AD136" s="16" t="str">
        <f aca="false">IF(ISNUMBER(L136),MIN(L136,K136),"")</f>
        <v/>
      </c>
      <c r="AE136" s="16" t="str">
        <f aca="false">IF(AND(ISNUMBER(SEARCH(" PA "," "&amp;SUBSTITUTE($I136,","," ")&amp;" ")),ISNUMBER($L136)),$L136,"")</f>
        <v/>
      </c>
      <c r="AF136" s="16" t="str">
        <f aca="false">IF(AND(ISNUMBER(SEARCH(" PO "," "&amp;SUBSTITUTE($I136,","," ")&amp;" ")),ISNUMBER($L136)),$L136,"")</f>
        <v/>
      </c>
      <c r="AG136" s="16" t="str">
        <f aca="false">IF(AND(ISNUMBER(SEARCH(" MFA "," "&amp;SUBSTITUTE($I136,","," ")&amp;" ")),ISNUMBER($L136)),$L136,"")</f>
        <v/>
      </c>
      <c r="AH136" s="16" t="str">
        <f aca="false">IF(AND(ISNUMBER(SEARCH(" RAP "," "&amp;SUBSTITUTE($I136,","," ")&amp;" ")),ISNUMBER($L136)),$L136,"")</f>
        <v/>
      </c>
      <c r="AI136" s="16" t="str">
        <f aca="false">IF(AND(ISNUMBER(SEARCH(" AC "," "&amp;SUBSTITUTE($I136,","," ")&amp;" ")),ISNUMBER($L136)),$L136,"")</f>
        <v/>
      </c>
      <c r="AJ136" s="16" t="str">
        <f aca="false">IF(AND(ISNUMBER(SEARCH(" MAC "," "&amp;SUBSTITUTE($I136,","," ")&amp;" ")),ISNUMBER($L136)),$L136,"")</f>
        <v/>
      </c>
      <c r="AK136" s="16" t="str">
        <f aca="false">IF(AND(ISNUMBER(SEARCH(" UAH "," "&amp;SUBSTITUTE($I136,","," ")&amp;" ")),ISNUMBER($L136)),$L136,"")</f>
        <v/>
      </c>
      <c r="AL136" s="16" t="str">
        <f aca="false">IF(AND(ISNUMBER(SEARCH(" RB "," "&amp;SUBSTITUTE($I136,","," ")&amp;" ")),ISNUMBER($L136)),$L136,"")</f>
        <v/>
      </c>
    </row>
    <row r="137" customFormat="false" ht="15" hidden="false" customHeight="false" outlineLevel="0" collapsed="false">
      <c r="M137" s="13" t="str">
        <f aca="false">IF(ISNUMBER(L137),IF(L137&lt;K137,"Gap","OK"),IF(L137="N/A","N/A",""))</f>
        <v/>
      </c>
      <c r="P137" s="13" t="str">
        <f aca="false">IF(AND(M137="Gap",N137&lt;&gt;"",O137&lt;&gt;""),VLOOKUP(N137&amp;O137,Lists!$H$4:$I$12,2,FALSE()),"")</f>
        <v/>
      </c>
      <c r="Q137" s="13" t="str">
        <f aca="false">IF(AND(M137="Gap",O137="S",OR(N137="H",N137="M")),"Yes","")</f>
        <v/>
      </c>
      <c r="S137" s="14" t="str">
        <f aca="false">IF(A137="","",IFERROR(IF(OR(VLOOKUP(A137,AutoEvidence!$A$2:$G$400,2,FALSE())="Collected",VLOOKUP(A137,AutoEvidence!$A$2:$G$400,2,FALSE())="Partial"),VLOOKUP(A137,AutoEvidence!$A$2:$G$400,3,FALSE())&amp;" ("&amp;VLOOKUP(A137,AutoEvidence!$A$2:$G$400,2,FALSE())&amp;")",VLOOKUP(A137,AutoEvidence!$A$2:$G$400,2,FALSE())),""))</f>
        <v/>
      </c>
      <c r="T137" s="7" t="str">
        <f aca="false">IF(A137="","",IFERROR(VLOOKUP(A137,AutoEvidence!$A$2:$G$400,4,FALSE())&amp;"",""))</f>
        <v/>
      </c>
      <c r="AB137" s="13" t="str">
        <f aca="false">IF(M137="Gap",1,IF(M137="OK",0,""))</f>
        <v/>
      </c>
      <c r="AC137" s="16" t="str">
        <f aca="false">IF(P137&lt;&gt;"",VALUE(RIGHT(P137,1))*1000+ROW(),"")</f>
        <v/>
      </c>
      <c r="AD137" s="16" t="str">
        <f aca="false">IF(ISNUMBER(L137),MIN(L137,K137),"")</f>
        <v/>
      </c>
      <c r="AE137" s="16" t="str">
        <f aca="false">IF(AND(ISNUMBER(SEARCH(" PA "," "&amp;SUBSTITUTE($I137,","," ")&amp;" ")),ISNUMBER($L137)),$L137,"")</f>
        <v/>
      </c>
      <c r="AF137" s="16" t="str">
        <f aca="false">IF(AND(ISNUMBER(SEARCH(" PO "," "&amp;SUBSTITUTE($I137,","," ")&amp;" ")),ISNUMBER($L137)),$L137,"")</f>
        <v/>
      </c>
      <c r="AG137" s="16" t="str">
        <f aca="false">IF(AND(ISNUMBER(SEARCH(" MFA "," "&amp;SUBSTITUTE($I137,","," ")&amp;" ")),ISNUMBER($L137)),$L137,"")</f>
        <v/>
      </c>
      <c r="AH137" s="16" t="str">
        <f aca="false">IF(AND(ISNUMBER(SEARCH(" RAP "," "&amp;SUBSTITUTE($I137,","," ")&amp;" ")),ISNUMBER($L137)),$L137,"")</f>
        <v/>
      </c>
      <c r="AI137" s="16" t="str">
        <f aca="false">IF(AND(ISNUMBER(SEARCH(" AC "," "&amp;SUBSTITUTE($I137,","," ")&amp;" ")),ISNUMBER($L137)),$L137,"")</f>
        <v/>
      </c>
      <c r="AJ137" s="16" t="str">
        <f aca="false">IF(AND(ISNUMBER(SEARCH(" MAC "," "&amp;SUBSTITUTE($I137,","," ")&amp;" ")),ISNUMBER($L137)),$L137,"")</f>
        <v/>
      </c>
      <c r="AK137" s="16" t="str">
        <f aca="false">IF(AND(ISNUMBER(SEARCH(" UAH "," "&amp;SUBSTITUTE($I137,","," ")&amp;" ")),ISNUMBER($L137)),$L137,"")</f>
        <v/>
      </c>
      <c r="AL137" s="16" t="str">
        <f aca="false">IF(AND(ISNUMBER(SEARCH(" RB "," "&amp;SUBSTITUTE($I137,","," ")&amp;" ")),ISNUMBER($L137)),$L137,"")</f>
        <v/>
      </c>
    </row>
    <row r="138" customFormat="false" ht="15" hidden="false" customHeight="false" outlineLevel="0" collapsed="false">
      <c r="M138" s="13" t="str">
        <f aca="false">IF(ISNUMBER(L138),IF(L138&lt;K138,"Gap","OK"),IF(L138="N/A","N/A",""))</f>
        <v/>
      </c>
      <c r="P138" s="13" t="str">
        <f aca="false">IF(AND(M138="Gap",N138&lt;&gt;"",O138&lt;&gt;""),VLOOKUP(N138&amp;O138,Lists!$H$4:$I$12,2,FALSE()),"")</f>
        <v/>
      </c>
      <c r="Q138" s="13" t="str">
        <f aca="false">IF(AND(M138="Gap",O138="S",OR(N138="H",N138="M")),"Yes","")</f>
        <v/>
      </c>
      <c r="S138" s="14" t="str">
        <f aca="false">IF(A138="","",IFERROR(IF(OR(VLOOKUP(A138,AutoEvidence!$A$2:$G$400,2,FALSE())="Collected",VLOOKUP(A138,AutoEvidence!$A$2:$G$400,2,FALSE())="Partial"),VLOOKUP(A138,AutoEvidence!$A$2:$G$400,3,FALSE())&amp;" ("&amp;VLOOKUP(A138,AutoEvidence!$A$2:$G$400,2,FALSE())&amp;")",VLOOKUP(A138,AutoEvidence!$A$2:$G$400,2,FALSE())),""))</f>
        <v/>
      </c>
      <c r="T138" s="7" t="str">
        <f aca="false">IF(A138="","",IFERROR(VLOOKUP(A138,AutoEvidence!$A$2:$G$400,4,FALSE())&amp;"",""))</f>
        <v/>
      </c>
      <c r="AB138" s="13" t="str">
        <f aca="false">IF(M138="Gap",1,IF(M138="OK",0,""))</f>
        <v/>
      </c>
      <c r="AC138" s="16" t="str">
        <f aca="false">IF(P138&lt;&gt;"",VALUE(RIGHT(P138,1))*1000+ROW(),"")</f>
        <v/>
      </c>
      <c r="AD138" s="16" t="str">
        <f aca="false">IF(ISNUMBER(L138),MIN(L138,K138),"")</f>
        <v/>
      </c>
      <c r="AE138" s="16" t="str">
        <f aca="false">IF(AND(ISNUMBER(SEARCH(" PA "," "&amp;SUBSTITUTE($I138,","," ")&amp;" ")),ISNUMBER($L138)),$L138,"")</f>
        <v/>
      </c>
      <c r="AF138" s="16" t="str">
        <f aca="false">IF(AND(ISNUMBER(SEARCH(" PO "," "&amp;SUBSTITUTE($I138,","," ")&amp;" ")),ISNUMBER($L138)),$L138,"")</f>
        <v/>
      </c>
      <c r="AG138" s="16" t="str">
        <f aca="false">IF(AND(ISNUMBER(SEARCH(" MFA "," "&amp;SUBSTITUTE($I138,","," ")&amp;" ")),ISNUMBER($L138)),$L138,"")</f>
        <v/>
      </c>
      <c r="AH138" s="16" t="str">
        <f aca="false">IF(AND(ISNUMBER(SEARCH(" RAP "," "&amp;SUBSTITUTE($I138,","," ")&amp;" ")),ISNUMBER($L138)),$L138,"")</f>
        <v/>
      </c>
      <c r="AI138" s="16" t="str">
        <f aca="false">IF(AND(ISNUMBER(SEARCH(" AC "," "&amp;SUBSTITUTE($I138,","," ")&amp;" ")),ISNUMBER($L138)),$L138,"")</f>
        <v/>
      </c>
      <c r="AJ138" s="16" t="str">
        <f aca="false">IF(AND(ISNUMBER(SEARCH(" MAC "," "&amp;SUBSTITUTE($I138,","," ")&amp;" ")),ISNUMBER($L138)),$L138,"")</f>
        <v/>
      </c>
      <c r="AK138" s="16" t="str">
        <f aca="false">IF(AND(ISNUMBER(SEARCH(" UAH "," "&amp;SUBSTITUTE($I138,","," ")&amp;" ")),ISNUMBER($L138)),$L138,"")</f>
        <v/>
      </c>
      <c r="AL138" s="16" t="str">
        <f aca="false">IF(AND(ISNUMBER(SEARCH(" RB "," "&amp;SUBSTITUTE($I138,","," ")&amp;" ")),ISNUMBER($L138)),$L138,"")</f>
        <v/>
      </c>
    </row>
    <row r="139" customFormat="false" ht="15" hidden="false" customHeight="false" outlineLevel="0" collapsed="false">
      <c r="M139" s="13" t="str">
        <f aca="false">IF(ISNUMBER(L139),IF(L139&lt;K139,"Gap","OK"),IF(L139="N/A","N/A",""))</f>
        <v/>
      </c>
      <c r="P139" s="13" t="str">
        <f aca="false">IF(AND(M139="Gap",N139&lt;&gt;"",O139&lt;&gt;""),VLOOKUP(N139&amp;O139,Lists!$H$4:$I$12,2,FALSE()),"")</f>
        <v/>
      </c>
      <c r="Q139" s="13" t="str">
        <f aca="false">IF(AND(M139="Gap",O139="S",OR(N139="H",N139="M")),"Yes","")</f>
        <v/>
      </c>
      <c r="S139" s="14" t="str">
        <f aca="false">IF(A139="","",IFERROR(IF(OR(VLOOKUP(A139,AutoEvidence!$A$2:$G$400,2,FALSE())="Collected",VLOOKUP(A139,AutoEvidence!$A$2:$G$400,2,FALSE())="Partial"),VLOOKUP(A139,AutoEvidence!$A$2:$G$400,3,FALSE())&amp;" ("&amp;VLOOKUP(A139,AutoEvidence!$A$2:$G$400,2,FALSE())&amp;")",VLOOKUP(A139,AutoEvidence!$A$2:$G$400,2,FALSE())),""))</f>
        <v/>
      </c>
      <c r="T139" s="7" t="str">
        <f aca="false">IF(A139="","",IFERROR(VLOOKUP(A139,AutoEvidence!$A$2:$G$400,4,FALSE())&amp;"",""))</f>
        <v/>
      </c>
      <c r="AB139" s="13" t="str">
        <f aca="false">IF(M139="Gap",1,IF(M139="OK",0,""))</f>
        <v/>
      </c>
      <c r="AC139" s="16" t="str">
        <f aca="false">IF(P139&lt;&gt;"",VALUE(RIGHT(P139,1))*1000+ROW(),"")</f>
        <v/>
      </c>
      <c r="AD139" s="16" t="str">
        <f aca="false">IF(ISNUMBER(L139),MIN(L139,K139),"")</f>
        <v/>
      </c>
      <c r="AE139" s="16" t="str">
        <f aca="false">IF(AND(ISNUMBER(SEARCH(" PA "," "&amp;SUBSTITUTE($I139,","," ")&amp;" ")),ISNUMBER($L139)),$L139,"")</f>
        <v/>
      </c>
      <c r="AF139" s="16" t="str">
        <f aca="false">IF(AND(ISNUMBER(SEARCH(" PO "," "&amp;SUBSTITUTE($I139,","," ")&amp;" ")),ISNUMBER($L139)),$L139,"")</f>
        <v/>
      </c>
      <c r="AG139" s="16" t="str">
        <f aca="false">IF(AND(ISNUMBER(SEARCH(" MFA "," "&amp;SUBSTITUTE($I139,","," ")&amp;" ")),ISNUMBER($L139)),$L139,"")</f>
        <v/>
      </c>
      <c r="AH139" s="16" t="str">
        <f aca="false">IF(AND(ISNUMBER(SEARCH(" RAP "," "&amp;SUBSTITUTE($I139,","," ")&amp;" ")),ISNUMBER($L139)),$L139,"")</f>
        <v/>
      </c>
      <c r="AI139" s="16" t="str">
        <f aca="false">IF(AND(ISNUMBER(SEARCH(" AC "," "&amp;SUBSTITUTE($I139,","," ")&amp;" ")),ISNUMBER($L139)),$L139,"")</f>
        <v/>
      </c>
      <c r="AJ139" s="16" t="str">
        <f aca="false">IF(AND(ISNUMBER(SEARCH(" MAC "," "&amp;SUBSTITUTE($I139,","," ")&amp;" ")),ISNUMBER($L139)),$L139,"")</f>
        <v/>
      </c>
      <c r="AK139" s="16" t="str">
        <f aca="false">IF(AND(ISNUMBER(SEARCH(" UAH "," "&amp;SUBSTITUTE($I139,","," ")&amp;" ")),ISNUMBER($L139)),$L139,"")</f>
        <v/>
      </c>
      <c r="AL139" s="16" t="str">
        <f aca="false">IF(AND(ISNUMBER(SEARCH(" RB "," "&amp;SUBSTITUTE($I139,","," ")&amp;" ")),ISNUMBER($L139)),$L139,"")</f>
        <v/>
      </c>
    </row>
    <row r="140" customFormat="false" ht="15" hidden="false" customHeight="false" outlineLevel="0" collapsed="false">
      <c r="M140" s="13" t="str">
        <f aca="false">IF(ISNUMBER(L140),IF(L140&lt;K140,"Gap","OK"),IF(L140="N/A","N/A",""))</f>
        <v/>
      </c>
      <c r="P140" s="13" t="str">
        <f aca="false">IF(AND(M140="Gap",N140&lt;&gt;"",O140&lt;&gt;""),VLOOKUP(N140&amp;O140,Lists!$H$4:$I$12,2,FALSE()),"")</f>
        <v/>
      </c>
      <c r="Q140" s="13" t="str">
        <f aca="false">IF(AND(M140="Gap",O140="S",OR(N140="H",N140="M")),"Yes","")</f>
        <v/>
      </c>
      <c r="S140" s="14" t="str">
        <f aca="false">IF(A140="","",IFERROR(IF(OR(VLOOKUP(A140,AutoEvidence!$A$2:$G$400,2,FALSE())="Collected",VLOOKUP(A140,AutoEvidence!$A$2:$G$400,2,FALSE())="Partial"),VLOOKUP(A140,AutoEvidence!$A$2:$G$400,3,FALSE())&amp;" ("&amp;VLOOKUP(A140,AutoEvidence!$A$2:$G$400,2,FALSE())&amp;")",VLOOKUP(A140,AutoEvidence!$A$2:$G$400,2,FALSE())),""))</f>
        <v/>
      </c>
      <c r="T140" s="7" t="str">
        <f aca="false">IF(A140="","",IFERROR(VLOOKUP(A140,AutoEvidence!$A$2:$G$400,4,FALSE())&amp;"",""))</f>
        <v/>
      </c>
      <c r="AB140" s="13" t="str">
        <f aca="false">IF(M140="Gap",1,IF(M140="OK",0,""))</f>
        <v/>
      </c>
      <c r="AC140" s="16" t="str">
        <f aca="false">IF(P140&lt;&gt;"",VALUE(RIGHT(P140,1))*1000+ROW(),"")</f>
        <v/>
      </c>
      <c r="AD140" s="16" t="str">
        <f aca="false">IF(ISNUMBER(L140),MIN(L140,K140),"")</f>
        <v/>
      </c>
      <c r="AE140" s="16" t="str">
        <f aca="false">IF(AND(ISNUMBER(SEARCH(" PA "," "&amp;SUBSTITUTE($I140,","," ")&amp;" ")),ISNUMBER($L140)),$L140,"")</f>
        <v/>
      </c>
      <c r="AF140" s="16" t="str">
        <f aca="false">IF(AND(ISNUMBER(SEARCH(" PO "," "&amp;SUBSTITUTE($I140,","," ")&amp;" ")),ISNUMBER($L140)),$L140,"")</f>
        <v/>
      </c>
      <c r="AG140" s="16" t="str">
        <f aca="false">IF(AND(ISNUMBER(SEARCH(" MFA "," "&amp;SUBSTITUTE($I140,","," ")&amp;" ")),ISNUMBER($L140)),$L140,"")</f>
        <v/>
      </c>
      <c r="AH140" s="16" t="str">
        <f aca="false">IF(AND(ISNUMBER(SEARCH(" RAP "," "&amp;SUBSTITUTE($I140,","," ")&amp;" ")),ISNUMBER($L140)),$L140,"")</f>
        <v/>
      </c>
      <c r="AI140" s="16" t="str">
        <f aca="false">IF(AND(ISNUMBER(SEARCH(" AC "," "&amp;SUBSTITUTE($I140,","," ")&amp;" ")),ISNUMBER($L140)),$L140,"")</f>
        <v/>
      </c>
      <c r="AJ140" s="16" t="str">
        <f aca="false">IF(AND(ISNUMBER(SEARCH(" MAC "," "&amp;SUBSTITUTE($I140,","," ")&amp;" ")),ISNUMBER($L140)),$L140,"")</f>
        <v/>
      </c>
      <c r="AK140" s="16" t="str">
        <f aca="false">IF(AND(ISNUMBER(SEARCH(" UAH "," "&amp;SUBSTITUTE($I140,","," ")&amp;" ")),ISNUMBER($L140)),$L140,"")</f>
        <v/>
      </c>
      <c r="AL140" s="16" t="str">
        <f aca="false">IF(AND(ISNUMBER(SEARCH(" RB "," "&amp;SUBSTITUTE($I140,","," ")&amp;" ")),ISNUMBER($L140)),$L140,"")</f>
        <v/>
      </c>
    </row>
    <row r="141" customFormat="false" ht="15" hidden="false" customHeight="false" outlineLevel="0" collapsed="false">
      <c r="M141" s="13" t="str">
        <f aca="false">IF(ISNUMBER(L141),IF(L141&lt;K141,"Gap","OK"),IF(L141="N/A","N/A",""))</f>
        <v/>
      </c>
      <c r="P141" s="13" t="str">
        <f aca="false">IF(AND(M141="Gap",N141&lt;&gt;"",O141&lt;&gt;""),VLOOKUP(N141&amp;O141,Lists!$H$4:$I$12,2,FALSE()),"")</f>
        <v/>
      </c>
      <c r="Q141" s="13" t="str">
        <f aca="false">IF(AND(M141="Gap",O141="S",OR(N141="H",N141="M")),"Yes","")</f>
        <v/>
      </c>
      <c r="S141" s="14" t="str">
        <f aca="false">IF(A141="","",IFERROR(IF(OR(VLOOKUP(A141,AutoEvidence!$A$2:$G$400,2,FALSE())="Collected",VLOOKUP(A141,AutoEvidence!$A$2:$G$400,2,FALSE())="Partial"),VLOOKUP(A141,AutoEvidence!$A$2:$G$400,3,FALSE())&amp;" ("&amp;VLOOKUP(A141,AutoEvidence!$A$2:$G$400,2,FALSE())&amp;")",VLOOKUP(A141,AutoEvidence!$A$2:$G$400,2,FALSE())),""))</f>
        <v/>
      </c>
      <c r="T141" s="7" t="str">
        <f aca="false">IF(A141="","",IFERROR(VLOOKUP(A141,AutoEvidence!$A$2:$G$400,4,FALSE())&amp;"",""))</f>
        <v/>
      </c>
      <c r="AB141" s="13" t="str">
        <f aca="false">IF(M141="Gap",1,IF(M141="OK",0,""))</f>
        <v/>
      </c>
      <c r="AC141" s="16" t="str">
        <f aca="false">IF(P141&lt;&gt;"",VALUE(RIGHT(P141,1))*1000+ROW(),"")</f>
        <v/>
      </c>
      <c r="AD141" s="16" t="str">
        <f aca="false">IF(ISNUMBER(L141),MIN(L141,K141),"")</f>
        <v/>
      </c>
      <c r="AE141" s="16" t="str">
        <f aca="false">IF(AND(ISNUMBER(SEARCH(" PA "," "&amp;SUBSTITUTE($I141,","," ")&amp;" ")),ISNUMBER($L141)),$L141,"")</f>
        <v/>
      </c>
      <c r="AF141" s="16" t="str">
        <f aca="false">IF(AND(ISNUMBER(SEARCH(" PO "," "&amp;SUBSTITUTE($I141,","," ")&amp;" ")),ISNUMBER($L141)),$L141,"")</f>
        <v/>
      </c>
      <c r="AG141" s="16" t="str">
        <f aca="false">IF(AND(ISNUMBER(SEARCH(" MFA "," "&amp;SUBSTITUTE($I141,","," ")&amp;" ")),ISNUMBER($L141)),$L141,"")</f>
        <v/>
      </c>
      <c r="AH141" s="16" t="str">
        <f aca="false">IF(AND(ISNUMBER(SEARCH(" RAP "," "&amp;SUBSTITUTE($I141,","," ")&amp;" ")),ISNUMBER($L141)),$L141,"")</f>
        <v/>
      </c>
      <c r="AI141" s="16" t="str">
        <f aca="false">IF(AND(ISNUMBER(SEARCH(" AC "," "&amp;SUBSTITUTE($I141,","," ")&amp;" ")),ISNUMBER($L141)),$L141,"")</f>
        <v/>
      </c>
      <c r="AJ141" s="16" t="str">
        <f aca="false">IF(AND(ISNUMBER(SEARCH(" MAC "," "&amp;SUBSTITUTE($I141,","," ")&amp;" ")),ISNUMBER($L141)),$L141,"")</f>
        <v/>
      </c>
      <c r="AK141" s="16" t="str">
        <f aca="false">IF(AND(ISNUMBER(SEARCH(" UAH "," "&amp;SUBSTITUTE($I141,","," ")&amp;" ")),ISNUMBER($L141)),$L141,"")</f>
        <v/>
      </c>
      <c r="AL141" s="16" t="str">
        <f aca="false">IF(AND(ISNUMBER(SEARCH(" RB "," "&amp;SUBSTITUTE($I141,","," ")&amp;" ")),ISNUMBER($L141)),$L141,"")</f>
        <v/>
      </c>
    </row>
    <row r="142" customFormat="false" ht="15" hidden="false" customHeight="false" outlineLevel="0" collapsed="false">
      <c r="M142" s="13" t="str">
        <f aca="false">IF(ISNUMBER(L142),IF(L142&lt;K142,"Gap","OK"),IF(L142="N/A","N/A",""))</f>
        <v/>
      </c>
      <c r="P142" s="13" t="str">
        <f aca="false">IF(AND(M142="Gap",N142&lt;&gt;"",O142&lt;&gt;""),VLOOKUP(N142&amp;O142,Lists!$H$4:$I$12,2,FALSE()),"")</f>
        <v/>
      </c>
      <c r="Q142" s="13" t="str">
        <f aca="false">IF(AND(M142="Gap",O142="S",OR(N142="H",N142="M")),"Yes","")</f>
        <v/>
      </c>
      <c r="S142" s="14" t="str">
        <f aca="false">IF(A142="","",IFERROR(IF(OR(VLOOKUP(A142,AutoEvidence!$A$2:$G$400,2,FALSE())="Collected",VLOOKUP(A142,AutoEvidence!$A$2:$G$400,2,FALSE())="Partial"),VLOOKUP(A142,AutoEvidence!$A$2:$G$400,3,FALSE())&amp;" ("&amp;VLOOKUP(A142,AutoEvidence!$A$2:$G$400,2,FALSE())&amp;")",VLOOKUP(A142,AutoEvidence!$A$2:$G$400,2,FALSE())),""))</f>
        <v/>
      </c>
      <c r="T142" s="7" t="str">
        <f aca="false">IF(A142="","",IFERROR(VLOOKUP(A142,AutoEvidence!$A$2:$G$400,4,FALSE())&amp;"",""))</f>
        <v/>
      </c>
      <c r="AB142" s="13" t="str">
        <f aca="false">IF(M142="Gap",1,IF(M142="OK",0,""))</f>
        <v/>
      </c>
      <c r="AC142" s="16" t="str">
        <f aca="false">IF(P142&lt;&gt;"",VALUE(RIGHT(P142,1))*1000+ROW(),"")</f>
        <v/>
      </c>
      <c r="AD142" s="16" t="str">
        <f aca="false">IF(ISNUMBER(L142),MIN(L142,K142),"")</f>
        <v/>
      </c>
      <c r="AE142" s="16" t="str">
        <f aca="false">IF(AND(ISNUMBER(SEARCH(" PA "," "&amp;SUBSTITUTE($I142,","," ")&amp;" ")),ISNUMBER($L142)),$L142,"")</f>
        <v/>
      </c>
      <c r="AF142" s="16" t="str">
        <f aca="false">IF(AND(ISNUMBER(SEARCH(" PO "," "&amp;SUBSTITUTE($I142,","," ")&amp;" ")),ISNUMBER($L142)),$L142,"")</f>
        <v/>
      </c>
      <c r="AG142" s="16" t="str">
        <f aca="false">IF(AND(ISNUMBER(SEARCH(" MFA "," "&amp;SUBSTITUTE($I142,","," ")&amp;" ")),ISNUMBER($L142)),$L142,"")</f>
        <v/>
      </c>
      <c r="AH142" s="16" t="str">
        <f aca="false">IF(AND(ISNUMBER(SEARCH(" RAP "," "&amp;SUBSTITUTE($I142,","," ")&amp;" ")),ISNUMBER($L142)),$L142,"")</f>
        <v/>
      </c>
      <c r="AI142" s="16" t="str">
        <f aca="false">IF(AND(ISNUMBER(SEARCH(" AC "," "&amp;SUBSTITUTE($I142,","," ")&amp;" ")),ISNUMBER($L142)),$L142,"")</f>
        <v/>
      </c>
      <c r="AJ142" s="16" t="str">
        <f aca="false">IF(AND(ISNUMBER(SEARCH(" MAC "," "&amp;SUBSTITUTE($I142,","," ")&amp;" ")),ISNUMBER($L142)),$L142,"")</f>
        <v/>
      </c>
      <c r="AK142" s="16" t="str">
        <f aca="false">IF(AND(ISNUMBER(SEARCH(" UAH "," "&amp;SUBSTITUTE($I142,","," ")&amp;" ")),ISNUMBER($L142)),$L142,"")</f>
        <v/>
      </c>
      <c r="AL142" s="16" t="str">
        <f aca="false">IF(AND(ISNUMBER(SEARCH(" RB "," "&amp;SUBSTITUTE($I142,","," ")&amp;" ")),ISNUMBER($L142)),$L142,"")</f>
        <v/>
      </c>
    </row>
    <row r="143" customFormat="false" ht="15" hidden="false" customHeight="false" outlineLevel="0" collapsed="false">
      <c r="M143" s="13" t="str">
        <f aca="false">IF(ISNUMBER(L143),IF(L143&lt;K143,"Gap","OK"),IF(L143="N/A","N/A",""))</f>
        <v/>
      </c>
      <c r="P143" s="13" t="str">
        <f aca="false">IF(AND(M143="Gap",N143&lt;&gt;"",O143&lt;&gt;""),VLOOKUP(N143&amp;O143,Lists!$H$4:$I$12,2,FALSE()),"")</f>
        <v/>
      </c>
      <c r="Q143" s="13" t="str">
        <f aca="false">IF(AND(M143="Gap",O143="S",OR(N143="H",N143="M")),"Yes","")</f>
        <v/>
      </c>
      <c r="S143" s="14" t="str">
        <f aca="false">IF(A143="","",IFERROR(IF(OR(VLOOKUP(A143,AutoEvidence!$A$2:$G$400,2,FALSE())="Collected",VLOOKUP(A143,AutoEvidence!$A$2:$G$400,2,FALSE())="Partial"),VLOOKUP(A143,AutoEvidence!$A$2:$G$400,3,FALSE())&amp;" ("&amp;VLOOKUP(A143,AutoEvidence!$A$2:$G$400,2,FALSE())&amp;")",VLOOKUP(A143,AutoEvidence!$A$2:$G$400,2,FALSE())),""))</f>
        <v/>
      </c>
      <c r="T143" s="7" t="str">
        <f aca="false">IF(A143="","",IFERROR(VLOOKUP(A143,AutoEvidence!$A$2:$G$400,4,FALSE())&amp;"",""))</f>
        <v/>
      </c>
      <c r="AB143" s="13" t="str">
        <f aca="false">IF(M143="Gap",1,IF(M143="OK",0,""))</f>
        <v/>
      </c>
      <c r="AC143" s="16" t="str">
        <f aca="false">IF(P143&lt;&gt;"",VALUE(RIGHT(P143,1))*1000+ROW(),"")</f>
        <v/>
      </c>
      <c r="AD143" s="16" t="str">
        <f aca="false">IF(ISNUMBER(L143),MIN(L143,K143),"")</f>
        <v/>
      </c>
      <c r="AE143" s="16" t="str">
        <f aca="false">IF(AND(ISNUMBER(SEARCH(" PA "," "&amp;SUBSTITUTE($I143,","," ")&amp;" ")),ISNUMBER($L143)),$L143,"")</f>
        <v/>
      </c>
      <c r="AF143" s="16" t="str">
        <f aca="false">IF(AND(ISNUMBER(SEARCH(" PO "," "&amp;SUBSTITUTE($I143,","," ")&amp;" ")),ISNUMBER($L143)),$L143,"")</f>
        <v/>
      </c>
      <c r="AG143" s="16" t="str">
        <f aca="false">IF(AND(ISNUMBER(SEARCH(" MFA "," "&amp;SUBSTITUTE($I143,","," ")&amp;" ")),ISNUMBER($L143)),$L143,"")</f>
        <v/>
      </c>
      <c r="AH143" s="16" t="str">
        <f aca="false">IF(AND(ISNUMBER(SEARCH(" RAP "," "&amp;SUBSTITUTE($I143,","," ")&amp;" ")),ISNUMBER($L143)),$L143,"")</f>
        <v/>
      </c>
      <c r="AI143" s="16" t="str">
        <f aca="false">IF(AND(ISNUMBER(SEARCH(" AC "," "&amp;SUBSTITUTE($I143,","," ")&amp;" ")),ISNUMBER($L143)),$L143,"")</f>
        <v/>
      </c>
      <c r="AJ143" s="16" t="str">
        <f aca="false">IF(AND(ISNUMBER(SEARCH(" MAC "," "&amp;SUBSTITUTE($I143,","," ")&amp;" ")),ISNUMBER($L143)),$L143,"")</f>
        <v/>
      </c>
      <c r="AK143" s="16" t="str">
        <f aca="false">IF(AND(ISNUMBER(SEARCH(" UAH "," "&amp;SUBSTITUTE($I143,","," ")&amp;" ")),ISNUMBER($L143)),$L143,"")</f>
        <v/>
      </c>
      <c r="AL143" s="16" t="str">
        <f aca="false">IF(AND(ISNUMBER(SEARCH(" RB "," "&amp;SUBSTITUTE($I143,","," ")&amp;" ")),ISNUMBER($L143)),$L143,"")</f>
        <v/>
      </c>
    </row>
    <row r="144" customFormat="false" ht="15" hidden="false" customHeight="false" outlineLevel="0" collapsed="false">
      <c r="M144" s="13" t="str">
        <f aca="false">IF(ISNUMBER(L144),IF(L144&lt;K144,"Gap","OK"),IF(L144="N/A","N/A",""))</f>
        <v/>
      </c>
      <c r="P144" s="13" t="str">
        <f aca="false">IF(AND(M144="Gap",N144&lt;&gt;"",O144&lt;&gt;""),VLOOKUP(N144&amp;O144,Lists!$H$4:$I$12,2,FALSE()),"")</f>
        <v/>
      </c>
      <c r="Q144" s="13" t="str">
        <f aca="false">IF(AND(M144="Gap",O144="S",OR(N144="H",N144="M")),"Yes","")</f>
        <v/>
      </c>
      <c r="S144" s="14" t="str">
        <f aca="false">IF(A144="","",IFERROR(IF(OR(VLOOKUP(A144,AutoEvidence!$A$2:$G$400,2,FALSE())="Collected",VLOOKUP(A144,AutoEvidence!$A$2:$G$400,2,FALSE())="Partial"),VLOOKUP(A144,AutoEvidence!$A$2:$G$400,3,FALSE())&amp;" ("&amp;VLOOKUP(A144,AutoEvidence!$A$2:$G$400,2,FALSE())&amp;")",VLOOKUP(A144,AutoEvidence!$A$2:$G$400,2,FALSE())),""))</f>
        <v/>
      </c>
      <c r="T144" s="7" t="str">
        <f aca="false">IF(A144="","",IFERROR(VLOOKUP(A144,AutoEvidence!$A$2:$G$400,4,FALSE())&amp;"",""))</f>
        <v/>
      </c>
      <c r="AB144" s="13" t="str">
        <f aca="false">IF(M144="Gap",1,IF(M144="OK",0,""))</f>
        <v/>
      </c>
      <c r="AC144" s="16" t="str">
        <f aca="false">IF(P144&lt;&gt;"",VALUE(RIGHT(P144,1))*1000+ROW(),"")</f>
        <v/>
      </c>
      <c r="AD144" s="16" t="str">
        <f aca="false">IF(ISNUMBER(L144),MIN(L144,K144),"")</f>
        <v/>
      </c>
      <c r="AE144" s="16" t="str">
        <f aca="false">IF(AND(ISNUMBER(SEARCH(" PA "," "&amp;SUBSTITUTE($I144,","," ")&amp;" ")),ISNUMBER($L144)),$L144,"")</f>
        <v/>
      </c>
      <c r="AF144" s="16" t="str">
        <f aca="false">IF(AND(ISNUMBER(SEARCH(" PO "," "&amp;SUBSTITUTE($I144,","," ")&amp;" ")),ISNUMBER($L144)),$L144,"")</f>
        <v/>
      </c>
      <c r="AG144" s="16" t="str">
        <f aca="false">IF(AND(ISNUMBER(SEARCH(" MFA "," "&amp;SUBSTITUTE($I144,","," ")&amp;" ")),ISNUMBER($L144)),$L144,"")</f>
        <v/>
      </c>
      <c r="AH144" s="16" t="str">
        <f aca="false">IF(AND(ISNUMBER(SEARCH(" RAP "," "&amp;SUBSTITUTE($I144,","," ")&amp;" ")),ISNUMBER($L144)),$L144,"")</f>
        <v/>
      </c>
      <c r="AI144" s="16" t="str">
        <f aca="false">IF(AND(ISNUMBER(SEARCH(" AC "," "&amp;SUBSTITUTE($I144,","," ")&amp;" ")),ISNUMBER($L144)),$L144,"")</f>
        <v/>
      </c>
      <c r="AJ144" s="16" t="str">
        <f aca="false">IF(AND(ISNUMBER(SEARCH(" MAC "," "&amp;SUBSTITUTE($I144,","," ")&amp;" ")),ISNUMBER($L144)),$L144,"")</f>
        <v/>
      </c>
      <c r="AK144" s="16" t="str">
        <f aca="false">IF(AND(ISNUMBER(SEARCH(" UAH "," "&amp;SUBSTITUTE($I144,","," ")&amp;" ")),ISNUMBER($L144)),$L144,"")</f>
        <v/>
      </c>
      <c r="AL144" s="16" t="str">
        <f aca="false">IF(AND(ISNUMBER(SEARCH(" RB "," "&amp;SUBSTITUTE($I144,","," ")&amp;" ")),ISNUMBER($L144)),$L144,"")</f>
        <v/>
      </c>
    </row>
    <row r="145" customFormat="false" ht="15" hidden="false" customHeight="false" outlineLevel="0" collapsed="false">
      <c r="M145" s="13" t="str">
        <f aca="false">IF(ISNUMBER(L145),IF(L145&lt;K145,"Gap","OK"),IF(L145="N/A","N/A",""))</f>
        <v/>
      </c>
      <c r="P145" s="13" t="str">
        <f aca="false">IF(AND(M145="Gap",N145&lt;&gt;"",O145&lt;&gt;""),VLOOKUP(N145&amp;O145,Lists!$H$4:$I$12,2,FALSE()),"")</f>
        <v/>
      </c>
      <c r="Q145" s="13" t="str">
        <f aca="false">IF(AND(M145="Gap",O145="S",OR(N145="H",N145="M")),"Yes","")</f>
        <v/>
      </c>
      <c r="S145" s="14" t="str">
        <f aca="false">IF(A145="","",IFERROR(IF(OR(VLOOKUP(A145,AutoEvidence!$A$2:$G$400,2,FALSE())="Collected",VLOOKUP(A145,AutoEvidence!$A$2:$G$400,2,FALSE())="Partial"),VLOOKUP(A145,AutoEvidence!$A$2:$G$400,3,FALSE())&amp;" ("&amp;VLOOKUP(A145,AutoEvidence!$A$2:$G$400,2,FALSE())&amp;")",VLOOKUP(A145,AutoEvidence!$A$2:$G$400,2,FALSE())),""))</f>
        <v/>
      </c>
      <c r="T145" s="7" t="str">
        <f aca="false">IF(A145="","",IFERROR(VLOOKUP(A145,AutoEvidence!$A$2:$G$400,4,FALSE())&amp;"",""))</f>
        <v/>
      </c>
      <c r="AB145" s="13" t="str">
        <f aca="false">IF(M145="Gap",1,IF(M145="OK",0,""))</f>
        <v/>
      </c>
      <c r="AC145" s="16" t="str">
        <f aca="false">IF(P145&lt;&gt;"",VALUE(RIGHT(P145,1))*1000+ROW(),"")</f>
        <v/>
      </c>
      <c r="AD145" s="16" t="str">
        <f aca="false">IF(ISNUMBER(L145),MIN(L145,K145),"")</f>
        <v/>
      </c>
      <c r="AE145" s="16" t="str">
        <f aca="false">IF(AND(ISNUMBER(SEARCH(" PA "," "&amp;SUBSTITUTE($I145,","," ")&amp;" ")),ISNUMBER($L145)),$L145,"")</f>
        <v/>
      </c>
      <c r="AF145" s="16" t="str">
        <f aca="false">IF(AND(ISNUMBER(SEARCH(" PO "," "&amp;SUBSTITUTE($I145,","," ")&amp;" ")),ISNUMBER($L145)),$L145,"")</f>
        <v/>
      </c>
      <c r="AG145" s="16" t="str">
        <f aca="false">IF(AND(ISNUMBER(SEARCH(" MFA "," "&amp;SUBSTITUTE($I145,","," ")&amp;" ")),ISNUMBER($L145)),$L145,"")</f>
        <v/>
      </c>
      <c r="AH145" s="16" t="str">
        <f aca="false">IF(AND(ISNUMBER(SEARCH(" RAP "," "&amp;SUBSTITUTE($I145,","," ")&amp;" ")),ISNUMBER($L145)),$L145,"")</f>
        <v/>
      </c>
      <c r="AI145" s="16" t="str">
        <f aca="false">IF(AND(ISNUMBER(SEARCH(" AC "," "&amp;SUBSTITUTE($I145,","," ")&amp;" ")),ISNUMBER($L145)),$L145,"")</f>
        <v/>
      </c>
      <c r="AJ145" s="16" t="str">
        <f aca="false">IF(AND(ISNUMBER(SEARCH(" MAC "," "&amp;SUBSTITUTE($I145,","," ")&amp;" ")),ISNUMBER($L145)),$L145,"")</f>
        <v/>
      </c>
      <c r="AK145" s="16" t="str">
        <f aca="false">IF(AND(ISNUMBER(SEARCH(" UAH "," "&amp;SUBSTITUTE($I145,","," ")&amp;" ")),ISNUMBER($L145)),$L145,"")</f>
        <v/>
      </c>
      <c r="AL145" s="16" t="str">
        <f aca="false">IF(AND(ISNUMBER(SEARCH(" RB "," "&amp;SUBSTITUTE($I145,","," ")&amp;" ")),ISNUMBER($L145)),$L145,"")</f>
        <v/>
      </c>
    </row>
    <row r="146" customFormat="false" ht="15" hidden="false" customHeight="false" outlineLevel="0" collapsed="false">
      <c r="M146" s="13" t="str">
        <f aca="false">IF(ISNUMBER(L146),IF(L146&lt;K146,"Gap","OK"),IF(L146="N/A","N/A",""))</f>
        <v/>
      </c>
      <c r="P146" s="13" t="str">
        <f aca="false">IF(AND(M146="Gap",N146&lt;&gt;"",O146&lt;&gt;""),VLOOKUP(N146&amp;O146,Lists!$H$4:$I$12,2,FALSE()),"")</f>
        <v/>
      </c>
      <c r="Q146" s="13" t="str">
        <f aca="false">IF(AND(M146="Gap",O146="S",OR(N146="H",N146="M")),"Yes","")</f>
        <v/>
      </c>
      <c r="S146" s="14" t="str">
        <f aca="false">IF(A146="","",IFERROR(IF(OR(VLOOKUP(A146,AutoEvidence!$A$2:$G$400,2,FALSE())="Collected",VLOOKUP(A146,AutoEvidence!$A$2:$G$400,2,FALSE())="Partial"),VLOOKUP(A146,AutoEvidence!$A$2:$G$400,3,FALSE())&amp;" ("&amp;VLOOKUP(A146,AutoEvidence!$A$2:$G$400,2,FALSE())&amp;")",VLOOKUP(A146,AutoEvidence!$A$2:$G$400,2,FALSE())),""))</f>
        <v/>
      </c>
      <c r="T146" s="7" t="str">
        <f aca="false">IF(A146="","",IFERROR(VLOOKUP(A146,AutoEvidence!$A$2:$G$400,4,FALSE())&amp;"",""))</f>
        <v/>
      </c>
      <c r="AB146" s="13" t="str">
        <f aca="false">IF(M146="Gap",1,IF(M146="OK",0,""))</f>
        <v/>
      </c>
      <c r="AC146" s="16" t="str">
        <f aca="false">IF(P146&lt;&gt;"",VALUE(RIGHT(P146,1))*1000+ROW(),"")</f>
        <v/>
      </c>
      <c r="AD146" s="16" t="str">
        <f aca="false">IF(ISNUMBER(L146),MIN(L146,K146),"")</f>
        <v/>
      </c>
      <c r="AE146" s="16" t="str">
        <f aca="false">IF(AND(ISNUMBER(SEARCH(" PA "," "&amp;SUBSTITUTE($I146,","," ")&amp;" ")),ISNUMBER($L146)),$L146,"")</f>
        <v/>
      </c>
      <c r="AF146" s="16" t="str">
        <f aca="false">IF(AND(ISNUMBER(SEARCH(" PO "," "&amp;SUBSTITUTE($I146,","," ")&amp;" ")),ISNUMBER($L146)),$L146,"")</f>
        <v/>
      </c>
      <c r="AG146" s="16" t="str">
        <f aca="false">IF(AND(ISNUMBER(SEARCH(" MFA "," "&amp;SUBSTITUTE($I146,","," ")&amp;" ")),ISNUMBER($L146)),$L146,"")</f>
        <v/>
      </c>
      <c r="AH146" s="16" t="str">
        <f aca="false">IF(AND(ISNUMBER(SEARCH(" RAP "," "&amp;SUBSTITUTE($I146,","," ")&amp;" ")),ISNUMBER($L146)),$L146,"")</f>
        <v/>
      </c>
      <c r="AI146" s="16" t="str">
        <f aca="false">IF(AND(ISNUMBER(SEARCH(" AC "," "&amp;SUBSTITUTE($I146,","," ")&amp;" ")),ISNUMBER($L146)),$L146,"")</f>
        <v/>
      </c>
      <c r="AJ146" s="16" t="str">
        <f aca="false">IF(AND(ISNUMBER(SEARCH(" MAC "," "&amp;SUBSTITUTE($I146,","," ")&amp;" ")),ISNUMBER($L146)),$L146,"")</f>
        <v/>
      </c>
      <c r="AK146" s="16" t="str">
        <f aca="false">IF(AND(ISNUMBER(SEARCH(" UAH "," "&amp;SUBSTITUTE($I146,","," ")&amp;" ")),ISNUMBER($L146)),$L146,"")</f>
        <v/>
      </c>
      <c r="AL146" s="16" t="str">
        <f aca="false">IF(AND(ISNUMBER(SEARCH(" RB "," "&amp;SUBSTITUTE($I146,","," ")&amp;" ")),ISNUMBER($L146)),$L146,"")</f>
        <v/>
      </c>
    </row>
    <row r="147" customFormat="false" ht="15" hidden="false" customHeight="false" outlineLevel="0" collapsed="false">
      <c r="M147" s="13" t="str">
        <f aca="false">IF(ISNUMBER(L147),IF(L147&lt;K147,"Gap","OK"),IF(L147="N/A","N/A",""))</f>
        <v/>
      </c>
      <c r="P147" s="13" t="str">
        <f aca="false">IF(AND(M147="Gap",N147&lt;&gt;"",O147&lt;&gt;""),VLOOKUP(N147&amp;O147,Lists!$H$4:$I$12,2,FALSE()),"")</f>
        <v/>
      </c>
      <c r="Q147" s="13" t="str">
        <f aca="false">IF(AND(M147="Gap",O147="S",OR(N147="H",N147="M")),"Yes","")</f>
        <v/>
      </c>
      <c r="S147" s="14" t="str">
        <f aca="false">IF(A147="","",IFERROR(IF(OR(VLOOKUP(A147,AutoEvidence!$A$2:$G$400,2,FALSE())="Collected",VLOOKUP(A147,AutoEvidence!$A$2:$G$400,2,FALSE())="Partial"),VLOOKUP(A147,AutoEvidence!$A$2:$G$400,3,FALSE())&amp;" ("&amp;VLOOKUP(A147,AutoEvidence!$A$2:$G$400,2,FALSE())&amp;")",VLOOKUP(A147,AutoEvidence!$A$2:$G$400,2,FALSE())),""))</f>
        <v/>
      </c>
      <c r="T147" s="7" t="str">
        <f aca="false">IF(A147="","",IFERROR(VLOOKUP(A147,AutoEvidence!$A$2:$G$400,4,FALSE())&amp;"",""))</f>
        <v/>
      </c>
      <c r="AB147" s="13" t="str">
        <f aca="false">IF(M147="Gap",1,IF(M147="OK",0,""))</f>
        <v/>
      </c>
      <c r="AC147" s="16" t="str">
        <f aca="false">IF(P147&lt;&gt;"",VALUE(RIGHT(P147,1))*1000+ROW(),"")</f>
        <v/>
      </c>
      <c r="AD147" s="16" t="str">
        <f aca="false">IF(ISNUMBER(L147),MIN(L147,K147),"")</f>
        <v/>
      </c>
      <c r="AE147" s="16" t="str">
        <f aca="false">IF(AND(ISNUMBER(SEARCH(" PA "," "&amp;SUBSTITUTE($I147,","," ")&amp;" ")),ISNUMBER($L147)),$L147,"")</f>
        <v/>
      </c>
      <c r="AF147" s="16" t="str">
        <f aca="false">IF(AND(ISNUMBER(SEARCH(" PO "," "&amp;SUBSTITUTE($I147,","," ")&amp;" ")),ISNUMBER($L147)),$L147,"")</f>
        <v/>
      </c>
      <c r="AG147" s="16" t="str">
        <f aca="false">IF(AND(ISNUMBER(SEARCH(" MFA "," "&amp;SUBSTITUTE($I147,","," ")&amp;" ")),ISNUMBER($L147)),$L147,"")</f>
        <v/>
      </c>
      <c r="AH147" s="16" t="str">
        <f aca="false">IF(AND(ISNUMBER(SEARCH(" RAP "," "&amp;SUBSTITUTE($I147,","," ")&amp;" ")),ISNUMBER($L147)),$L147,"")</f>
        <v/>
      </c>
      <c r="AI147" s="16" t="str">
        <f aca="false">IF(AND(ISNUMBER(SEARCH(" AC "," "&amp;SUBSTITUTE($I147,","," ")&amp;" ")),ISNUMBER($L147)),$L147,"")</f>
        <v/>
      </c>
      <c r="AJ147" s="16" t="str">
        <f aca="false">IF(AND(ISNUMBER(SEARCH(" MAC "," "&amp;SUBSTITUTE($I147,","," ")&amp;" ")),ISNUMBER($L147)),$L147,"")</f>
        <v/>
      </c>
      <c r="AK147" s="16" t="str">
        <f aca="false">IF(AND(ISNUMBER(SEARCH(" UAH "," "&amp;SUBSTITUTE($I147,","," ")&amp;" ")),ISNUMBER($L147)),$L147,"")</f>
        <v/>
      </c>
      <c r="AL147" s="16" t="str">
        <f aca="false">IF(AND(ISNUMBER(SEARCH(" RB "," "&amp;SUBSTITUTE($I147,","," ")&amp;" ")),ISNUMBER($L147)),$L147,"")</f>
        <v/>
      </c>
    </row>
    <row r="148" customFormat="false" ht="15" hidden="false" customHeight="false" outlineLevel="0" collapsed="false">
      <c r="M148" s="13" t="str">
        <f aca="false">IF(ISNUMBER(L148),IF(L148&lt;K148,"Gap","OK"),IF(L148="N/A","N/A",""))</f>
        <v/>
      </c>
      <c r="P148" s="13" t="str">
        <f aca="false">IF(AND(M148="Gap",N148&lt;&gt;"",O148&lt;&gt;""),VLOOKUP(N148&amp;O148,Lists!$H$4:$I$12,2,FALSE()),"")</f>
        <v/>
      </c>
      <c r="Q148" s="13" t="str">
        <f aca="false">IF(AND(M148="Gap",O148="S",OR(N148="H",N148="M")),"Yes","")</f>
        <v/>
      </c>
      <c r="S148" s="14" t="str">
        <f aca="false">IF(A148="","",IFERROR(IF(OR(VLOOKUP(A148,AutoEvidence!$A$2:$G$400,2,FALSE())="Collected",VLOOKUP(A148,AutoEvidence!$A$2:$G$400,2,FALSE())="Partial"),VLOOKUP(A148,AutoEvidence!$A$2:$G$400,3,FALSE())&amp;" ("&amp;VLOOKUP(A148,AutoEvidence!$A$2:$G$400,2,FALSE())&amp;")",VLOOKUP(A148,AutoEvidence!$A$2:$G$400,2,FALSE())),""))</f>
        <v/>
      </c>
      <c r="T148" s="7" t="str">
        <f aca="false">IF(A148="","",IFERROR(VLOOKUP(A148,AutoEvidence!$A$2:$G$400,4,FALSE())&amp;"",""))</f>
        <v/>
      </c>
      <c r="AB148" s="13" t="str">
        <f aca="false">IF(M148="Gap",1,IF(M148="OK",0,""))</f>
        <v/>
      </c>
      <c r="AC148" s="16" t="str">
        <f aca="false">IF(P148&lt;&gt;"",VALUE(RIGHT(P148,1))*1000+ROW(),"")</f>
        <v/>
      </c>
      <c r="AD148" s="16" t="str">
        <f aca="false">IF(ISNUMBER(L148),MIN(L148,K148),"")</f>
        <v/>
      </c>
      <c r="AE148" s="16" t="str">
        <f aca="false">IF(AND(ISNUMBER(SEARCH(" PA "," "&amp;SUBSTITUTE($I148,","," ")&amp;" ")),ISNUMBER($L148)),$L148,"")</f>
        <v/>
      </c>
      <c r="AF148" s="16" t="str">
        <f aca="false">IF(AND(ISNUMBER(SEARCH(" PO "," "&amp;SUBSTITUTE($I148,","," ")&amp;" ")),ISNUMBER($L148)),$L148,"")</f>
        <v/>
      </c>
      <c r="AG148" s="16" t="str">
        <f aca="false">IF(AND(ISNUMBER(SEARCH(" MFA "," "&amp;SUBSTITUTE($I148,","," ")&amp;" ")),ISNUMBER($L148)),$L148,"")</f>
        <v/>
      </c>
      <c r="AH148" s="16" t="str">
        <f aca="false">IF(AND(ISNUMBER(SEARCH(" RAP "," "&amp;SUBSTITUTE($I148,","," ")&amp;" ")),ISNUMBER($L148)),$L148,"")</f>
        <v/>
      </c>
      <c r="AI148" s="16" t="str">
        <f aca="false">IF(AND(ISNUMBER(SEARCH(" AC "," "&amp;SUBSTITUTE($I148,","," ")&amp;" ")),ISNUMBER($L148)),$L148,"")</f>
        <v/>
      </c>
      <c r="AJ148" s="16" t="str">
        <f aca="false">IF(AND(ISNUMBER(SEARCH(" MAC "," "&amp;SUBSTITUTE($I148,","," ")&amp;" ")),ISNUMBER($L148)),$L148,"")</f>
        <v/>
      </c>
      <c r="AK148" s="16" t="str">
        <f aca="false">IF(AND(ISNUMBER(SEARCH(" UAH "," "&amp;SUBSTITUTE($I148,","," ")&amp;" ")),ISNUMBER($L148)),$L148,"")</f>
        <v/>
      </c>
      <c r="AL148" s="16" t="str">
        <f aca="false">IF(AND(ISNUMBER(SEARCH(" RB "," "&amp;SUBSTITUTE($I148,","," ")&amp;" ")),ISNUMBER($L148)),$L148,"")</f>
        <v/>
      </c>
    </row>
    <row r="149" customFormat="false" ht="15" hidden="false" customHeight="false" outlineLevel="0" collapsed="false">
      <c r="M149" s="13" t="str">
        <f aca="false">IF(ISNUMBER(L149),IF(L149&lt;K149,"Gap","OK"),IF(L149="N/A","N/A",""))</f>
        <v/>
      </c>
      <c r="P149" s="13" t="str">
        <f aca="false">IF(AND(M149="Gap",N149&lt;&gt;"",O149&lt;&gt;""),VLOOKUP(N149&amp;O149,Lists!$H$4:$I$12,2,FALSE()),"")</f>
        <v/>
      </c>
      <c r="Q149" s="13" t="str">
        <f aca="false">IF(AND(M149="Gap",O149="S",OR(N149="H",N149="M")),"Yes","")</f>
        <v/>
      </c>
      <c r="S149" s="14" t="str">
        <f aca="false">IF(A149="","",IFERROR(IF(OR(VLOOKUP(A149,AutoEvidence!$A$2:$G$400,2,FALSE())="Collected",VLOOKUP(A149,AutoEvidence!$A$2:$G$400,2,FALSE())="Partial"),VLOOKUP(A149,AutoEvidence!$A$2:$G$400,3,FALSE())&amp;" ("&amp;VLOOKUP(A149,AutoEvidence!$A$2:$G$400,2,FALSE())&amp;")",VLOOKUP(A149,AutoEvidence!$A$2:$G$400,2,FALSE())),""))</f>
        <v/>
      </c>
      <c r="T149" s="7" t="str">
        <f aca="false">IF(A149="","",IFERROR(VLOOKUP(A149,AutoEvidence!$A$2:$G$400,4,FALSE())&amp;"",""))</f>
        <v/>
      </c>
      <c r="AB149" s="13" t="str">
        <f aca="false">IF(M149="Gap",1,IF(M149="OK",0,""))</f>
        <v/>
      </c>
      <c r="AC149" s="16" t="str">
        <f aca="false">IF(P149&lt;&gt;"",VALUE(RIGHT(P149,1))*1000+ROW(),"")</f>
        <v/>
      </c>
      <c r="AD149" s="16" t="str">
        <f aca="false">IF(ISNUMBER(L149),MIN(L149,K149),"")</f>
        <v/>
      </c>
      <c r="AE149" s="16" t="str">
        <f aca="false">IF(AND(ISNUMBER(SEARCH(" PA "," "&amp;SUBSTITUTE($I149,","," ")&amp;" ")),ISNUMBER($L149)),$L149,"")</f>
        <v/>
      </c>
      <c r="AF149" s="16" t="str">
        <f aca="false">IF(AND(ISNUMBER(SEARCH(" PO "," "&amp;SUBSTITUTE($I149,","," ")&amp;" ")),ISNUMBER($L149)),$L149,"")</f>
        <v/>
      </c>
      <c r="AG149" s="16" t="str">
        <f aca="false">IF(AND(ISNUMBER(SEARCH(" MFA "," "&amp;SUBSTITUTE($I149,","," ")&amp;" ")),ISNUMBER($L149)),$L149,"")</f>
        <v/>
      </c>
      <c r="AH149" s="16" t="str">
        <f aca="false">IF(AND(ISNUMBER(SEARCH(" RAP "," "&amp;SUBSTITUTE($I149,","," ")&amp;" ")),ISNUMBER($L149)),$L149,"")</f>
        <v/>
      </c>
      <c r="AI149" s="16" t="str">
        <f aca="false">IF(AND(ISNUMBER(SEARCH(" AC "," "&amp;SUBSTITUTE($I149,","," ")&amp;" ")),ISNUMBER($L149)),$L149,"")</f>
        <v/>
      </c>
      <c r="AJ149" s="16" t="str">
        <f aca="false">IF(AND(ISNUMBER(SEARCH(" MAC "," "&amp;SUBSTITUTE($I149,","," ")&amp;" ")),ISNUMBER($L149)),$L149,"")</f>
        <v/>
      </c>
      <c r="AK149" s="16" t="str">
        <f aca="false">IF(AND(ISNUMBER(SEARCH(" UAH "," "&amp;SUBSTITUTE($I149,","," ")&amp;" ")),ISNUMBER($L149)),$L149,"")</f>
        <v/>
      </c>
      <c r="AL149" s="16" t="str">
        <f aca="false">IF(AND(ISNUMBER(SEARCH(" RB "," "&amp;SUBSTITUTE($I149,","," ")&amp;" ")),ISNUMBER($L149)),$L149,"")</f>
        <v/>
      </c>
    </row>
    <row r="150" customFormat="false" ht="15" hidden="false" customHeight="false" outlineLevel="0" collapsed="false">
      <c r="M150" s="13" t="str">
        <f aca="false">IF(ISNUMBER(L150),IF(L150&lt;K150,"Gap","OK"),IF(L150="N/A","N/A",""))</f>
        <v/>
      </c>
      <c r="P150" s="13" t="str">
        <f aca="false">IF(AND(M150="Gap",N150&lt;&gt;"",O150&lt;&gt;""),VLOOKUP(N150&amp;O150,Lists!$H$4:$I$12,2,FALSE()),"")</f>
        <v/>
      </c>
      <c r="Q150" s="13" t="str">
        <f aca="false">IF(AND(M150="Gap",O150="S",OR(N150="H",N150="M")),"Yes","")</f>
        <v/>
      </c>
      <c r="S150" s="14" t="str">
        <f aca="false">IF(A150="","",IFERROR(IF(OR(VLOOKUP(A150,AutoEvidence!$A$2:$G$400,2,FALSE())="Collected",VLOOKUP(A150,AutoEvidence!$A$2:$G$400,2,FALSE())="Partial"),VLOOKUP(A150,AutoEvidence!$A$2:$G$400,3,FALSE())&amp;" ("&amp;VLOOKUP(A150,AutoEvidence!$A$2:$G$400,2,FALSE())&amp;")",VLOOKUP(A150,AutoEvidence!$A$2:$G$400,2,FALSE())),""))</f>
        <v/>
      </c>
      <c r="T150" s="7" t="str">
        <f aca="false">IF(A150="","",IFERROR(VLOOKUP(A150,AutoEvidence!$A$2:$G$400,4,FALSE())&amp;"",""))</f>
        <v/>
      </c>
      <c r="AB150" s="13" t="str">
        <f aca="false">IF(M150="Gap",1,IF(M150="OK",0,""))</f>
        <v/>
      </c>
      <c r="AC150" s="16" t="str">
        <f aca="false">IF(P150&lt;&gt;"",VALUE(RIGHT(P150,1))*1000+ROW(),"")</f>
        <v/>
      </c>
      <c r="AD150" s="16" t="str">
        <f aca="false">IF(ISNUMBER(L150),MIN(L150,K150),"")</f>
        <v/>
      </c>
      <c r="AE150" s="16" t="str">
        <f aca="false">IF(AND(ISNUMBER(SEARCH(" PA "," "&amp;SUBSTITUTE($I150,","," ")&amp;" ")),ISNUMBER($L150)),$L150,"")</f>
        <v/>
      </c>
      <c r="AF150" s="16" t="str">
        <f aca="false">IF(AND(ISNUMBER(SEARCH(" PO "," "&amp;SUBSTITUTE($I150,","," ")&amp;" ")),ISNUMBER($L150)),$L150,"")</f>
        <v/>
      </c>
      <c r="AG150" s="16" t="str">
        <f aca="false">IF(AND(ISNUMBER(SEARCH(" MFA "," "&amp;SUBSTITUTE($I150,","," ")&amp;" ")),ISNUMBER($L150)),$L150,"")</f>
        <v/>
      </c>
      <c r="AH150" s="16" t="str">
        <f aca="false">IF(AND(ISNUMBER(SEARCH(" RAP "," "&amp;SUBSTITUTE($I150,","," ")&amp;" ")),ISNUMBER($L150)),$L150,"")</f>
        <v/>
      </c>
      <c r="AI150" s="16" t="str">
        <f aca="false">IF(AND(ISNUMBER(SEARCH(" AC "," "&amp;SUBSTITUTE($I150,","," ")&amp;" ")),ISNUMBER($L150)),$L150,"")</f>
        <v/>
      </c>
      <c r="AJ150" s="16" t="str">
        <f aca="false">IF(AND(ISNUMBER(SEARCH(" MAC "," "&amp;SUBSTITUTE($I150,","," ")&amp;" ")),ISNUMBER($L150)),$L150,"")</f>
        <v/>
      </c>
      <c r="AK150" s="16" t="str">
        <f aca="false">IF(AND(ISNUMBER(SEARCH(" UAH "," "&amp;SUBSTITUTE($I150,","," ")&amp;" ")),ISNUMBER($L150)),$L150,"")</f>
        <v/>
      </c>
      <c r="AL150" s="16" t="str">
        <f aca="false">IF(AND(ISNUMBER(SEARCH(" RB "," "&amp;SUBSTITUTE($I150,","," ")&amp;" ")),ISNUMBER($L150)),$L150,"")</f>
        <v/>
      </c>
    </row>
    <row r="151" customFormat="false" ht="15" hidden="false" customHeight="false" outlineLevel="0" collapsed="false">
      <c r="M151" s="13" t="str">
        <f aca="false">IF(ISNUMBER(L151),IF(L151&lt;K151,"Gap","OK"),IF(L151="N/A","N/A",""))</f>
        <v/>
      </c>
      <c r="P151" s="13" t="str">
        <f aca="false">IF(AND(M151="Gap",N151&lt;&gt;"",O151&lt;&gt;""),VLOOKUP(N151&amp;O151,Lists!$H$4:$I$12,2,FALSE()),"")</f>
        <v/>
      </c>
      <c r="Q151" s="13" t="str">
        <f aca="false">IF(AND(M151="Gap",O151="S",OR(N151="H",N151="M")),"Yes","")</f>
        <v/>
      </c>
      <c r="S151" s="14" t="str">
        <f aca="false">IF(A151="","",IFERROR(IF(OR(VLOOKUP(A151,AutoEvidence!$A$2:$G$400,2,FALSE())="Collected",VLOOKUP(A151,AutoEvidence!$A$2:$G$400,2,FALSE())="Partial"),VLOOKUP(A151,AutoEvidence!$A$2:$G$400,3,FALSE())&amp;" ("&amp;VLOOKUP(A151,AutoEvidence!$A$2:$G$400,2,FALSE())&amp;")",VLOOKUP(A151,AutoEvidence!$A$2:$G$400,2,FALSE())),""))</f>
        <v/>
      </c>
      <c r="T151" s="7" t="str">
        <f aca="false">IF(A151="","",IFERROR(VLOOKUP(A151,AutoEvidence!$A$2:$G$400,4,FALSE())&amp;"",""))</f>
        <v/>
      </c>
      <c r="AB151" s="13" t="str">
        <f aca="false">IF(M151="Gap",1,IF(M151="OK",0,""))</f>
        <v/>
      </c>
      <c r="AC151" s="16" t="str">
        <f aca="false">IF(P151&lt;&gt;"",VALUE(RIGHT(P151,1))*1000+ROW(),"")</f>
        <v/>
      </c>
      <c r="AD151" s="16" t="str">
        <f aca="false">IF(ISNUMBER(L151),MIN(L151,K151),"")</f>
        <v/>
      </c>
      <c r="AE151" s="16" t="str">
        <f aca="false">IF(AND(ISNUMBER(SEARCH(" PA "," "&amp;SUBSTITUTE($I151,","," ")&amp;" ")),ISNUMBER($L151)),$L151,"")</f>
        <v/>
      </c>
      <c r="AF151" s="16" t="str">
        <f aca="false">IF(AND(ISNUMBER(SEARCH(" PO "," "&amp;SUBSTITUTE($I151,","," ")&amp;" ")),ISNUMBER($L151)),$L151,"")</f>
        <v/>
      </c>
      <c r="AG151" s="16" t="str">
        <f aca="false">IF(AND(ISNUMBER(SEARCH(" MFA "," "&amp;SUBSTITUTE($I151,","," ")&amp;" ")),ISNUMBER($L151)),$L151,"")</f>
        <v/>
      </c>
      <c r="AH151" s="16" t="str">
        <f aca="false">IF(AND(ISNUMBER(SEARCH(" RAP "," "&amp;SUBSTITUTE($I151,","," ")&amp;" ")),ISNUMBER($L151)),$L151,"")</f>
        <v/>
      </c>
      <c r="AI151" s="16" t="str">
        <f aca="false">IF(AND(ISNUMBER(SEARCH(" AC "," "&amp;SUBSTITUTE($I151,","," ")&amp;" ")),ISNUMBER($L151)),$L151,"")</f>
        <v/>
      </c>
      <c r="AJ151" s="16" t="str">
        <f aca="false">IF(AND(ISNUMBER(SEARCH(" MAC "," "&amp;SUBSTITUTE($I151,","," ")&amp;" ")),ISNUMBER($L151)),$L151,"")</f>
        <v/>
      </c>
      <c r="AK151" s="16" t="str">
        <f aca="false">IF(AND(ISNUMBER(SEARCH(" UAH "," "&amp;SUBSTITUTE($I151,","," ")&amp;" ")),ISNUMBER($L151)),$L151,"")</f>
        <v/>
      </c>
      <c r="AL151" s="16" t="str">
        <f aca="false">IF(AND(ISNUMBER(SEARCH(" RB "," "&amp;SUBSTITUTE($I151,","," ")&amp;" ")),ISNUMBER($L151)),$L151,"")</f>
        <v/>
      </c>
    </row>
    <row r="152" customFormat="false" ht="15" hidden="false" customHeight="false" outlineLevel="0" collapsed="false">
      <c r="M152" s="13" t="str">
        <f aca="false">IF(ISNUMBER(L152),IF(L152&lt;K152,"Gap","OK"),IF(L152="N/A","N/A",""))</f>
        <v/>
      </c>
      <c r="P152" s="13" t="str">
        <f aca="false">IF(AND(M152="Gap",N152&lt;&gt;"",O152&lt;&gt;""),VLOOKUP(N152&amp;O152,Lists!$H$4:$I$12,2,FALSE()),"")</f>
        <v/>
      </c>
      <c r="Q152" s="13" t="str">
        <f aca="false">IF(AND(M152="Gap",O152="S",OR(N152="H",N152="M")),"Yes","")</f>
        <v/>
      </c>
      <c r="S152" s="14" t="str">
        <f aca="false">IF(A152="","",IFERROR(IF(OR(VLOOKUP(A152,AutoEvidence!$A$2:$G$400,2,FALSE())="Collected",VLOOKUP(A152,AutoEvidence!$A$2:$G$400,2,FALSE())="Partial"),VLOOKUP(A152,AutoEvidence!$A$2:$G$400,3,FALSE())&amp;" ("&amp;VLOOKUP(A152,AutoEvidence!$A$2:$G$400,2,FALSE())&amp;")",VLOOKUP(A152,AutoEvidence!$A$2:$G$400,2,FALSE())),""))</f>
        <v/>
      </c>
      <c r="T152" s="7" t="str">
        <f aca="false">IF(A152="","",IFERROR(VLOOKUP(A152,AutoEvidence!$A$2:$G$400,4,FALSE())&amp;"",""))</f>
        <v/>
      </c>
      <c r="AB152" s="13" t="str">
        <f aca="false">IF(M152="Gap",1,IF(M152="OK",0,""))</f>
        <v/>
      </c>
      <c r="AC152" s="16" t="str">
        <f aca="false">IF(P152&lt;&gt;"",VALUE(RIGHT(P152,1))*1000+ROW(),"")</f>
        <v/>
      </c>
      <c r="AD152" s="16" t="str">
        <f aca="false">IF(ISNUMBER(L152),MIN(L152,K152),"")</f>
        <v/>
      </c>
      <c r="AE152" s="16" t="str">
        <f aca="false">IF(AND(ISNUMBER(SEARCH(" PA "," "&amp;SUBSTITUTE($I152,","," ")&amp;" ")),ISNUMBER($L152)),$L152,"")</f>
        <v/>
      </c>
      <c r="AF152" s="16" t="str">
        <f aca="false">IF(AND(ISNUMBER(SEARCH(" PO "," "&amp;SUBSTITUTE($I152,","," ")&amp;" ")),ISNUMBER($L152)),$L152,"")</f>
        <v/>
      </c>
      <c r="AG152" s="16" t="str">
        <f aca="false">IF(AND(ISNUMBER(SEARCH(" MFA "," "&amp;SUBSTITUTE($I152,","," ")&amp;" ")),ISNUMBER($L152)),$L152,"")</f>
        <v/>
      </c>
      <c r="AH152" s="16" t="str">
        <f aca="false">IF(AND(ISNUMBER(SEARCH(" RAP "," "&amp;SUBSTITUTE($I152,","," ")&amp;" ")),ISNUMBER($L152)),$L152,"")</f>
        <v/>
      </c>
      <c r="AI152" s="16" t="str">
        <f aca="false">IF(AND(ISNUMBER(SEARCH(" AC "," "&amp;SUBSTITUTE($I152,","," ")&amp;" ")),ISNUMBER($L152)),$L152,"")</f>
        <v/>
      </c>
      <c r="AJ152" s="16" t="str">
        <f aca="false">IF(AND(ISNUMBER(SEARCH(" MAC "," "&amp;SUBSTITUTE($I152,","," ")&amp;" ")),ISNUMBER($L152)),$L152,"")</f>
        <v/>
      </c>
      <c r="AK152" s="16" t="str">
        <f aca="false">IF(AND(ISNUMBER(SEARCH(" UAH "," "&amp;SUBSTITUTE($I152,","," ")&amp;" ")),ISNUMBER($L152)),$L152,"")</f>
        <v/>
      </c>
      <c r="AL152" s="16" t="str">
        <f aca="false">IF(AND(ISNUMBER(SEARCH(" RB "," "&amp;SUBSTITUTE($I152,","," ")&amp;" ")),ISNUMBER($L152)),$L152,"")</f>
        <v/>
      </c>
    </row>
    <row r="153" customFormat="false" ht="15" hidden="false" customHeight="false" outlineLevel="0" collapsed="false">
      <c r="M153" s="13" t="str">
        <f aca="false">IF(ISNUMBER(L153),IF(L153&lt;K153,"Gap","OK"),IF(L153="N/A","N/A",""))</f>
        <v/>
      </c>
      <c r="P153" s="13" t="str">
        <f aca="false">IF(AND(M153="Gap",N153&lt;&gt;"",O153&lt;&gt;""),VLOOKUP(N153&amp;O153,Lists!$H$4:$I$12,2,FALSE()),"")</f>
        <v/>
      </c>
      <c r="Q153" s="13" t="str">
        <f aca="false">IF(AND(M153="Gap",O153="S",OR(N153="H",N153="M")),"Yes","")</f>
        <v/>
      </c>
      <c r="S153" s="14" t="str">
        <f aca="false">IF(A153="","",IFERROR(IF(OR(VLOOKUP(A153,AutoEvidence!$A$2:$G$400,2,FALSE())="Collected",VLOOKUP(A153,AutoEvidence!$A$2:$G$400,2,FALSE())="Partial"),VLOOKUP(A153,AutoEvidence!$A$2:$G$400,3,FALSE())&amp;" ("&amp;VLOOKUP(A153,AutoEvidence!$A$2:$G$400,2,FALSE())&amp;")",VLOOKUP(A153,AutoEvidence!$A$2:$G$400,2,FALSE())),""))</f>
        <v/>
      </c>
      <c r="T153" s="7" t="str">
        <f aca="false">IF(A153="","",IFERROR(VLOOKUP(A153,AutoEvidence!$A$2:$G$400,4,FALSE())&amp;"",""))</f>
        <v/>
      </c>
      <c r="AB153" s="13" t="str">
        <f aca="false">IF(M153="Gap",1,IF(M153="OK",0,""))</f>
        <v/>
      </c>
      <c r="AC153" s="16" t="str">
        <f aca="false">IF(P153&lt;&gt;"",VALUE(RIGHT(P153,1))*1000+ROW(),"")</f>
        <v/>
      </c>
      <c r="AD153" s="16" t="str">
        <f aca="false">IF(ISNUMBER(L153),MIN(L153,K153),"")</f>
        <v/>
      </c>
      <c r="AE153" s="16" t="str">
        <f aca="false">IF(AND(ISNUMBER(SEARCH(" PA "," "&amp;SUBSTITUTE($I153,","," ")&amp;" ")),ISNUMBER($L153)),$L153,"")</f>
        <v/>
      </c>
      <c r="AF153" s="16" t="str">
        <f aca="false">IF(AND(ISNUMBER(SEARCH(" PO "," "&amp;SUBSTITUTE($I153,","," ")&amp;" ")),ISNUMBER($L153)),$L153,"")</f>
        <v/>
      </c>
      <c r="AG153" s="16" t="str">
        <f aca="false">IF(AND(ISNUMBER(SEARCH(" MFA "," "&amp;SUBSTITUTE($I153,","," ")&amp;" ")),ISNUMBER($L153)),$L153,"")</f>
        <v/>
      </c>
      <c r="AH153" s="16" t="str">
        <f aca="false">IF(AND(ISNUMBER(SEARCH(" RAP "," "&amp;SUBSTITUTE($I153,","," ")&amp;" ")),ISNUMBER($L153)),$L153,"")</f>
        <v/>
      </c>
      <c r="AI153" s="16" t="str">
        <f aca="false">IF(AND(ISNUMBER(SEARCH(" AC "," "&amp;SUBSTITUTE($I153,","," ")&amp;" ")),ISNUMBER($L153)),$L153,"")</f>
        <v/>
      </c>
      <c r="AJ153" s="16" t="str">
        <f aca="false">IF(AND(ISNUMBER(SEARCH(" MAC "," "&amp;SUBSTITUTE($I153,","," ")&amp;" ")),ISNUMBER($L153)),$L153,"")</f>
        <v/>
      </c>
      <c r="AK153" s="16" t="str">
        <f aca="false">IF(AND(ISNUMBER(SEARCH(" UAH "," "&amp;SUBSTITUTE($I153,","," ")&amp;" ")),ISNUMBER($L153)),$L153,"")</f>
        <v/>
      </c>
      <c r="AL153" s="16" t="str">
        <f aca="false">IF(AND(ISNUMBER(SEARCH(" RB "," "&amp;SUBSTITUTE($I153,","," ")&amp;" ")),ISNUMBER($L153)),$L153,"")</f>
        <v/>
      </c>
    </row>
    <row r="154" customFormat="false" ht="15" hidden="false" customHeight="false" outlineLevel="0" collapsed="false">
      <c r="M154" s="13" t="str">
        <f aca="false">IF(ISNUMBER(L154),IF(L154&lt;K154,"Gap","OK"),IF(L154="N/A","N/A",""))</f>
        <v/>
      </c>
      <c r="P154" s="13" t="str">
        <f aca="false">IF(AND(M154="Gap",N154&lt;&gt;"",O154&lt;&gt;""),VLOOKUP(N154&amp;O154,Lists!$H$4:$I$12,2,FALSE()),"")</f>
        <v/>
      </c>
      <c r="Q154" s="13" t="str">
        <f aca="false">IF(AND(M154="Gap",O154="S",OR(N154="H",N154="M")),"Yes","")</f>
        <v/>
      </c>
      <c r="S154" s="14" t="str">
        <f aca="false">IF(A154="","",IFERROR(IF(OR(VLOOKUP(A154,AutoEvidence!$A$2:$G$400,2,FALSE())="Collected",VLOOKUP(A154,AutoEvidence!$A$2:$G$400,2,FALSE())="Partial"),VLOOKUP(A154,AutoEvidence!$A$2:$G$400,3,FALSE())&amp;" ("&amp;VLOOKUP(A154,AutoEvidence!$A$2:$G$400,2,FALSE())&amp;")",VLOOKUP(A154,AutoEvidence!$A$2:$G$400,2,FALSE())),""))</f>
        <v/>
      </c>
      <c r="T154" s="7" t="str">
        <f aca="false">IF(A154="","",IFERROR(VLOOKUP(A154,AutoEvidence!$A$2:$G$400,4,FALSE())&amp;"",""))</f>
        <v/>
      </c>
      <c r="AB154" s="13" t="str">
        <f aca="false">IF(M154="Gap",1,IF(M154="OK",0,""))</f>
        <v/>
      </c>
      <c r="AC154" s="16" t="str">
        <f aca="false">IF(P154&lt;&gt;"",VALUE(RIGHT(P154,1))*1000+ROW(),"")</f>
        <v/>
      </c>
      <c r="AD154" s="16" t="str">
        <f aca="false">IF(ISNUMBER(L154),MIN(L154,K154),"")</f>
        <v/>
      </c>
      <c r="AE154" s="16" t="str">
        <f aca="false">IF(AND(ISNUMBER(SEARCH(" PA "," "&amp;SUBSTITUTE($I154,","," ")&amp;" ")),ISNUMBER($L154)),$L154,"")</f>
        <v/>
      </c>
      <c r="AF154" s="16" t="str">
        <f aca="false">IF(AND(ISNUMBER(SEARCH(" PO "," "&amp;SUBSTITUTE($I154,","," ")&amp;" ")),ISNUMBER($L154)),$L154,"")</f>
        <v/>
      </c>
      <c r="AG154" s="16" t="str">
        <f aca="false">IF(AND(ISNUMBER(SEARCH(" MFA "," "&amp;SUBSTITUTE($I154,","," ")&amp;" ")),ISNUMBER($L154)),$L154,"")</f>
        <v/>
      </c>
      <c r="AH154" s="16" t="str">
        <f aca="false">IF(AND(ISNUMBER(SEARCH(" RAP "," "&amp;SUBSTITUTE($I154,","," ")&amp;" ")),ISNUMBER($L154)),$L154,"")</f>
        <v/>
      </c>
      <c r="AI154" s="16" t="str">
        <f aca="false">IF(AND(ISNUMBER(SEARCH(" AC "," "&amp;SUBSTITUTE($I154,","," ")&amp;" ")),ISNUMBER($L154)),$L154,"")</f>
        <v/>
      </c>
      <c r="AJ154" s="16" t="str">
        <f aca="false">IF(AND(ISNUMBER(SEARCH(" MAC "," "&amp;SUBSTITUTE($I154,","," ")&amp;" ")),ISNUMBER($L154)),$L154,"")</f>
        <v/>
      </c>
      <c r="AK154" s="16" t="str">
        <f aca="false">IF(AND(ISNUMBER(SEARCH(" UAH "," "&amp;SUBSTITUTE($I154,","," ")&amp;" ")),ISNUMBER($L154)),$L154,"")</f>
        <v/>
      </c>
      <c r="AL154" s="16" t="str">
        <f aca="false">IF(AND(ISNUMBER(SEARCH(" RB "," "&amp;SUBSTITUTE($I154,","," ")&amp;" ")),ISNUMBER($L154)),$L154,"")</f>
        <v/>
      </c>
    </row>
    <row r="155" customFormat="false" ht="15" hidden="false" customHeight="false" outlineLevel="0" collapsed="false">
      <c r="M155" s="13" t="str">
        <f aca="false">IF(ISNUMBER(L155),IF(L155&lt;K155,"Gap","OK"),IF(L155="N/A","N/A",""))</f>
        <v/>
      </c>
      <c r="P155" s="13" t="str">
        <f aca="false">IF(AND(M155="Gap",N155&lt;&gt;"",O155&lt;&gt;""),VLOOKUP(N155&amp;O155,Lists!$H$4:$I$12,2,FALSE()),"")</f>
        <v/>
      </c>
      <c r="Q155" s="13" t="str">
        <f aca="false">IF(AND(M155="Gap",O155="S",OR(N155="H",N155="M")),"Yes","")</f>
        <v/>
      </c>
      <c r="S155" s="14" t="str">
        <f aca="false">IF(A155="","",IFERROR(IF(OR(VLOOKUP(A155,AutoEvidence!$A$2:$G$400,2,FALSE())="Collected",VLOOKUP(A155,AutoEvidence!$A$2:$G$400,2,FALSE())="Partial"),VLOOKUP(A155,AutoEvidence!$A$2:$G$400,3,FALSE())&amp;" ("&amp;VLOOKUP(A155,AutoEvidence!$A$2:$G$400,2,FALSE())&amp;")",VLOOKUP(A155,AutoEvidence!$A$2:$G$400,2,FALSE())),""))</f>
        <v/>
      </c>
      <c r="T155" s="7" t="str">
        <f aca="false">IF(A155="","",IFERROR(VLOOKUP(A155,AutoEvidence!$A$2:$G$400,4,FALSE())&amp;"",""))</f>
        <v/>
      </c>
      <c r="AB155" s="13" t="str">
        <f aca="false">IF(M155="Gap",1,IF(M155="OK",0,""))</f>
        <v/>
      </c>
      <c r="AC155" s="16" t="str">
        <f aca="false">IF(P155&lt;&gt;"",VALUE(RIGHT(P155,1))*1000+ROW(),"")</f>
        <v/>
      </c>
      <c r="AD155" s="16" t="str">
        <f aca="false">IF(ISNUMBER(L155),MIN(L155,K155),"")</f>
        <v/>
      </c>
      <c r="AE155" s="16" t="str">
        <f aca="false">IF(AND(ISNUMBER(SEARCH(" PA "," "&amp;SUBSTITUTE($I155,","," ")&amp;" ")),ISNUMBER($L155)),$L155,"")</f>
        <v/>
      </c>
      <c r="AF155" s="16" t="str">
        <f aca="false">IF(AND(ISNUMBER(SEARCH(" PO "," "&amp;SUBSTITUTE($I155,","," ")&amp;" ")),ISNUMBER($L155)),$L155,"")</f>
        <v/>
      </c>
      <c r="AG155" s="16" t="str">
        <f aca="false">IF(AND(ISNUMBER(SEARCH(" MFA "," "&amp;SUBSTITUTE($I155,","," ")&amp;" ")),ISNUMBER($L155)),$L155,"")</f>
        <v/>
      </c>
      <c r="AH155" s="16" t="str">
        <f aca="false">IF(AND(ISNUMBER(SEARCH(" RAP "," "&amp;SUBSTITUTE($I155,","," ")&amp;" ")),ISNUMBER($L155)),$L155,"")</f>
        <v/>
      </c>
      <c r="AI155" s="16" t="str">
        <f aca="false">IF(AND(ISNUMBER(SEARCH(" AC "," "&amp;SUBSTITUTE($I155,","," ")&amp;" ")),ISNUMBER($L155)),$L155,"")</f>
        <v/>
      </c>
      <c r="AJ155" s="16" t="str">
        <f aca="false">IF(AND(ISNUMBER(SEARCH(" MAC "," "&amp;SUBSTITUTE($I155,","," ")&amp;" ")),ISNUMBER($L155)),$L155,"")</f>
        <v/>
      </c>
      <c r="AK155" s="16" t="str">
        <f aca="false">IF(AND(ISNUMBER(SEARCH(" UAH "," "&amp;SUBSTITUTE($I155,","," ")&amp;" ")),ISNUMBER($L155)),$L155,"")</f>
        <v/>
      </c>
      <c r="AL155" s="16" t="str">
        <f aca="false">IF(AND(ISNUMBER(SEARCH(" RB "," "&amp;SUBSTITUTE($I155,","," ")&amp;" ")),ISNUMBER($L155)),$L155,"")</f>
        <v/>
      </c>
    </row>
    <row r="156" customFormat="false" ht="15" hidden="false" customHeight="false" outlineLevel="0" collapsed="false">
      <c r="M156" s="13" t="str">
        <f aca="false">IF(ISNUMBER(L156),IF(L156&lt;K156,"Gap","OK"),IF(L156="N/A","N/A",""))</f>
        <v/>
      </c>
      <c r="P156" s="13" t="str">
        <f aca="false">IF(AND(M156="Gap",N156&lt;&gt;"",O156&lt;&gt;""),VLOOKUP(N156&amp;O156,Lists!$H$4:$I$12,2,FALSE()),"")</f>
        <v/>
      </c>
      <c r="Q156" s="13" t="str">
        <f aca="false">IF(AND(M156="Gap",O156="S",OR(N156="H",N156="M")),"Yes","")</f>
        <v/>
      </c>
      <c r="S156" s="14" t="str">
        <f aca="false">IF(A156="","",IFERROR(IF(OR(VLOOKUP(A156,AutoEvidence!$A$2:$G$400,2,FALSE())="Collected",VLOOKUP(A156,AutoEvidence!$A$2:$G$400,2,FALSE())="Partial"),VLOOKUP(A156,AutoEvidence!$A$2:$G$400,3,FALSE())&amp;" ("&amp;VLOOKUP(A156,AutoEvidence!$A$2:$G$400,2,FALSE())&amp;")",VLOOKUP(A156,AutoEvidence!$A$2:$G$400,2,FALSE())),""))</f>
        <v/>
      </c>
      <c r="T156" s="7" t="str">
        <f aca="false">IF(A156="","",IFERROR(VLOOKUP(A156,AutoEvidence!$A$2:$G$400,4,FALSE())&amp;"",""))</f>
        <v/>
      </c>
      <c r="AB156" s="13" t="str">
        <f aca="false">IF(M156="Gap",1,IF(M156="OK",0,""))</f>
        <v/>
      </c>
      <c r="AC156" s="16" t="str">
        <f aca="false">IF(P156&lt;&gt;"",VALUE(RIGHT(P156,1))*1000+ROW(),"")</f>
        <v/>
      </c>
      <c r="AD156" s="16" t="str">
        <f aca="false">IF(ISNUMBER(L156),MIN(L156,K156),"")</f>
        <v/>
      </c>
      <c r="AE156" s="16" t="str">
        <f aca="false">IF(AND(ISNUMBER(SEARCH(" PA "," "&amp;SUBSTITUTE($I156,","," ")&amp;" ")),ISNUMBER($L156)),$L156,"")</f>
        <v/>
      </c>
      <c r="AF156" s="16" t="str">
        <f aca="false">IF(AND(ISNUMBER(SEARCH(" PO "," "&amp;SUBSTITUTE($I156,","," ")&amp;" ")),ISNUMBER($L156)),$L156,"")</f>
        <v/>
      </c>
      <c r="AG156" s="16" t="str">
        <f aca="false">IF(AND(ISNUMBER(SEARCH(" MFA "," "&amp;SUBSTITUTE($I156,","," ")&amp;" ")),ISNUMBER($L156)),$L156,"")</f>
        <v/>
      </c>
      <c r="AH156" s="16" t="str">
        <f aca="false">IF(AND(ISNUMBER(SEARCH(" RAP "," "&amp;SUBSTITUTE($I156,","," ")&amp;" ")),ISNUMBER($L156)),$L156,"")</f>
        <v/>
      </c>
      <c r="AI156" s="16" t="str">
        <f aca="false">IF(AND(ISNUMBER(SEARCH(" AC "," "&amp;SUBSTITUTE($I156,","," ")&amp;" ")),ISNUMBER($L156)),$L156,"")</f>
        <v/>
      </c>
      <c r="AJ156" s="16" t="str">
        <f aca="false">IF(AND(ISNUMBER(SEARCH(" MAC "," "&amp;SUBSTITUTE($I156,","," ")&amp;" ")),ISNUMBER($L156)),$L156,"")</f>
        <v/>
      </c>
      <c r="AK156" s="16" t="str">
        <f aca="false">IF(AND(ISNUMBER(SEARCH(" UAH "," "&amp;SUBSTITUTE($I156,","," ")&amp;" ")),ISNUMBER($L156)),$L156,"")</f>
        <v/>
      </c>
      <c r="AL156" s="16" t="str">
        <f aca="false">IF(AND(ISNUMBER(SEARCH(" RB "," "&amp;SUBSTITUTE($I156,","," ")&amp;" ")),ISNUMBER($L156)),$L156,"")</f>
        <v/>
      </c>
    </row>
    <row r="157" customFormat="false" ht="15" hidden="false" customHeight="false" outlineLevel="0" collapsed="false">
      <c r="M157" s="13" t="str">
        <f aca="false">IF(ISNUMBER(L157),IF(L157&lt;K157,"Gap","OK"),IF(L157="N/A","N/A",""))</f>
        <v/>
      </c>
      <c r="P157" s="13" t="str">
        <f aca="false">IF(AND(M157="Gap",N157&lt;&gt;"",O157&lt;&gt;""),VLOOKUP(N157&amp;O157,Lists!$H$4:$I$12,2,FALSE()),"")</f>
        <v/>
      </c>
      <c r="Q157" s="13" t="str">
        <f aca="false">IF(AND(M157="Gap",O157="S",OR(N157="H",N157="M")),"Yes","")</f>
        <v/>
      </c>
      <c r="S157" s="14" t="str">
        <f aca="false">IF(A157="","",IFERROR(IF(OR(VLOOKUP(A157,AutoEvidence!$A$2:$G$400,2,FALSE())="Collected",VLOOKUP(A157,AutoEvidence!$A$2:$G$400,2,FALSE())="Partial"),VLOOKUP(A157,AutoEvidence!$A$2:$G$400,3,FALSE())&amp;" ("&amp;VLOOKUP(A157,AutoEvidence!$A$2:$G$400,2,FALSE())&amp;")",VLOOKUP(A157,AutoEvidence!$A$2:$G$400,2,FALSE())),""))</f>
        <v/>
      </c>
      <c r="T157" s="7" t="str">
        <f aca="false">IF(A157="","",IFERROR(VLOOKUP(A157,AutoEvidence!$A$2:$G$400,4,FALSE())&amp;"",""))</f>
        <v/>
      </c>
      <c r="AB157" s="13" t="str">
        <f aca="false">IF(M157="Gap",1,IF(M157="OK",0,""))</f>
        <v/>
      </c>
      <c r="AC157" s="16" t="str">
        <f aca="false">IF(P157&lt;&gt;"",VALUE(RIGHT(P157,1))*1000+ROW(),"")</f>
        <v/>
      </c>
      <c r="AD157" s="16" t="str">
        <f aca="false">IF(ISNUMBER(L157),MIN(L157,K157),"")</f>
        <v/>
      </c>
      <c r="AE157" s="16" t="str">
        <f aca="false">IF(AND(ISNUMBER(SEARCH(" PA "," "&amp;SUBSTITUTE($I157,","," ")&amp;" ")),ISNUMBER($L157)),$L157,"")</f>
        <v/>
      </c>
      <c r="AF157" s="16" t="str">
        <f aca="false">IF(AND(ISNUMBER(SEARCH(" PO "," "&amp;SUBSTITUTE($I157,","," ")&amp;" ")),ISNUMBER($L157)),$L157,"")</f>
        <v/>
      </c>
      <c r="AG157" s="16" t="str">
        <f aca="false">IF(AND(ISNUMBER(SEARCH(" MFA "," "&amp;SUBSTITUTE($I157,","," ")&amp;" ")),ISNUMBER($L157)),$L157,"")</f>
        <v/>
      </c>
      <c r="AH157" s="16" t="str">
        <f aca="false">IF(AND(ISNUMBER(SEARCH(" RAP "," "&amp;SUBSTITUTE($I157,","," ")&amp;" ")),ISNUMBER($L157)),$L157,"")</f>
        <v/>
      </c>
      <c r="AI157" s="16" t="str">
        <f aca="false">IF(AND(ISNUMBER(SEARCH(" AC "," "&amp;SUBSTITUTE($I157,","," ")&amp;" ")),ISNUMBER($L157)),$L157,"")</f>
        <v/>
      </c>
      <c r="AJ157" s="16" t="str">
        <f aca="false">IF(AND(ISNUMBER(SEARCH(" MAC "," "&amp;SUBSTITUTE($I157,","," ")&amp;" ")),ISNUMBER($L157)),$L157,"")</f>
        <v/>
      </c>
      <c r="AK157" s="16" t="str">
        <f aca="false">IF(AND(ISNUMBER(SEARCH(" UAH "," "&amp;SUBSTITUTE($I157,","," ")&amp;" ")),ISNUMBER($L157)),$L157,"")</f>
        <v/>
      </c>
      <c r="AL157" s="16" t="str">
        <f aca="false">IF(AND(ISNUMBER(SEARCH(" RB "," "&amp;SUBSTITUTE($I157,","," ")&amp;" ")),ISNUMBER($L157)),$L157,"")</f>
        <v/>
      </c>
    </row>
    <row r="158" customFormat="false" ht="15" hidden="false" customHeight="false" outlineLevel="0" collapsed="false">
      <c r="M158" s="13" t="str">
        <f aca="false">IF(ISNUMBER(L158),IF(L158&lt;K158,"Gap","OK"),IF(L158="N/A","N/A",""))</f>
        <v/>
      </c>
      <c r="P158" s="13" t="str">
        <f aca="false">IF(AND(M158="Gap",N158&lt;&gt;"",O158&lt;&gt;""),VLOOKUP(N158&amp;O158,Lists!$H$4:$I$12,2,FALSE()),"")</f>
        <v/>
      </c>
      <c r="Q158" s="13" t="str">
        <f aca="false">IF(AND(M158="Gap",O158="S",OR(N158="H",N158="M")),"Yes","")</f>
        <v/>
      </c>
      <c r="S158" s="14" t="str">
        <f aca="false">IF(A158="","",IFERROR(IF(OR(VLOOKUP(A158,AutoEvidence!$A$2:$G$400,2,FALSE())="Collected",VLOOKUP(A158,AutoEvidence!$A$2:$G$400,2,FALSE())="Partial"),VLOOKUP(A158,AutoEvidence!$A$2:$G$400,3,FALSE())&amp;" ("&amp;VLOOKUP(A158,AutoEvidence!$A$2:$G$400,2,FALSE())&amp;")",VLOOKUP(A158,AutoEvidence!$A$2:$G$400,2,FALSE())),""))</f>
        <v/>
      </c>
      <c r="T158" s="7" t="str">
        <f aca="false">IF(A158="","",IFERROR(VLOOKUP(A158,AutoEvidence!$A$2:$G$400,4,FALSE())&amp;"",""))</f>
        <v/>
      </c>
      <c r="AB158" s="13" t="str">
        <f aca="false">IF(M158="Gap",1,IF(M158="OK",0,""))</f>
        <v/>
      </c>
      <c r="AC158" s="16" t="str">
        <f aca="false">IF(P158&lt;&gt;"",VALUE(RIGHT(P158,1))*1000+ROW(),"")</f>
        <v/>
      </c>
      <c r="AD158" s="16" t="str">
        <f aca="false">IF(ISNUMBER(L158),MIN(L158,K158),"")</f>
        <v/>
      </c>
      <c r="AE158" s="16" t="str">
        <f aca="false">IF(AND(ISNUMBER(SEARCH(" PA "," "&amp;SUBSTITUTE($I158,","," ")&amp;" ")),ISNUMBER($L158)),$L158,"")</f>
        <v/>
      </c>
      <c r="AF158" s="16" t="str">
        <f aca="false">IF(AND(ISNUMBER(SEARCH(" PO "," "&amp;SUBSTITUTE($I158,","," ")&amp;" ")),ISNUMBER($L158)),$L158,"")</f>
        <v/>
      </c>
      <c r="AG158" s="16" t="str">
        <f aca="false">IF(AND(ISNUMBER(SEARCH(" MFA "," "&amp;SUBSTITUTE($I158,","," ")&amp;" ")),ISNUMBER($L158)),$L158,"")</f>
        <v/>
      </c>
      <c r="AH158" s="16" t="str">
        <f aca="false">IF(AND(ISNUMBER(SEARCH(" RAP "," "&amp;SUBSTITUTE($I158,","," ")&amp;" ")),ISNUMBER($L158)),$L158,"")</f>
        <v/>
      </c>
      <c r="AI158" s="16" t="str">
        <f aca="false">IF(AND(ISNUMBER(SEARCH(" AC "," "&amp;SUBSTITUTE($I158,","," ")&amp;" ")),ISNUMBER($L158)),$L158,"")</f>
        <v/>
      </c>
      <c r="AJ158" s="16" t="str">
        <f aca="false">IF(AND(ISNUMBER(SEARCH(" MAC "," "&amp;SUBSTITUTE($I158,","," ")&amp;" ")),ISNUMBER($L158)),$L158,"")</f>
        <v/>
      </c>
      <c r="AK158" s="16" t="str">
        <f aca="false">IF(AND(ISNUMBER(SEARCH(" UAH "," "&amp;SUBSTITUTE($I158,","," ")&amp;" ")),ISNUMBER($L158)),$L158,"")</f>
        <v/>
      </c>
      <c r="AL158" s="16" t="str">
        <f aca="false">IF(AND(ISNUMBER(SEARCH(" RB "," "&amp;SUBSTITUTE($I158,","," ")&amp;" ")),ISNUMBER($L158)),$L158,"")</f>
        <v/>
      </c>
    </row>
    <row r="159" customFormat="false" ht="15" hidden="false" customHeight="false" outlineLevel="0" collapsed="false">
      <c r="M159" s="13" t="str">
        <f aca="false">IF(ISNUMBER(L159),IF(L159&lt;K159,"Gap","OK"),IF(L159="N/A","N/A",""))</f>
        <v/>
      </c>
      <c r="P159" s="13" t="str">
        <f aca="false">IF(AND(M159="Gap",N159&lt;&gt;"",O159&lt;&gt;""),VLOOKUP(N159&amp;O159,Lists!$H$4:$I$12,2,FALSE()),"")</f>
        <v/>
      </c>
      <c r="Q159" s="13" t="str">
        <f aca="false">IF(AND(M159="Gap",O159="S",OR(N159="H",N159="M")),"Yes","")</f>
        <v/>
      </c>
      <c r="S159" s="14" t="str">
        <f aca="false">IF(A159="","",IFERROR(IF(OR(VLOOKUP(A159,AutoEvidence!$A$2:$G$400,2,FALSE())="Collected",VLOOKUP(A159,AutoEvidence!$A$2:$G$400,2,FALSE())="Partial"),VLOOKUP(A159,AutoEvidence!$A$2:$G$400,3,FALSE())&amp;" ("&amp;VLOOKUP(A159,AutoEvidence!$A$2:$G$400,2,FALSE())&amp;")",VLOOKUP(A159,AutoEvidence!$A$2:$G$400,2,FALSE())),""))</f>
        <v/>
      </c>
      <c r="T159" s="7" t="str">
        <f aca="false">IF(A159="","",IFERROR(VLOOKUP(A159,AutoEvidence!$A$2:$G$400,4,FALSE())&amp;"",""))</f>
        <v/>
      </c>
      <c r="AB159" s="13" t="str">
        <f aca="false">IF(M159="Gap",1,IF(M159="OK",0,""))</f>
        <v/>
      </c>
      <c r="AC159" s="16" t="str">
        <f aca="false">IF(P159&lt;&gt;"",VALUE(RIGHT(P159,1))*1000+ROW(),"")</f>
        <v/>
      </c>
      <c r="AD159" s="16" t="str">
        <f aca="false">IF(ISNUMBER(L159),MIN(L159,K159),"")</f>
        <v/>
      </c>
      <c r="AE159" s="16" t="str">
        <f aca="false">IF(AND(ISNUMBER(SEARCH(" PA "," "&amp;SUBSTITUTE($I159,","," ")&amp;" ")),ISNUMBER($L159)),$L159,"")</f>
        <v/>
      </c>
      <c r="AF159" s="16" t="str">
        <f aca="false">IF(AND(ISNUMBER(SEARCH(" PO "," "&amp;SUBSTITUTE($I159,","," ")&amp;" ")),ISNUMBER($L159)),$L159,"")</f>
        <v/>
      </c>
      <c r="AG159" s="16" t="str">
        <f aca="false">IF(AND(ISNUMBER(SEARCH(" MFA "," "&amp;SUBSTITUTE($I159,","," ")&amp;" ")),ISNUMBER($L159)),$L159,"")</f>
        <v/>
      </c>
      <c r="AH159" s="16" t="str">
        <f aca="false">IF(AND(ISNUMBER(SEARCH(" RAP "," "&amp;SUBSTITUTE($I159,","," ")&amp;" ")),ISNUMBER($L159)),$L159,"")</f>
        <v/>
      </c>
      <c r="AI159" s="16" t="str">
        <f aca="false">IF(AND(ISNUMBER(SEARCH(" AC "," "&amp;SUBSTITUTE($I159,","," ")&amp;" ")),ISNUMBER($L159)),$L159,"")</f>
        <v/>
      </c>
      <c r="AJ159" s="16" t="str">
        <f aca="false">IF(AND(ISNUMBER(SEARCH(" MAC "," "&amp;SUBSTITUTE($I159,","," ")&amp;" ")),ISNUMBER($L159)),$L159,"")</f>
        <v/>
      </c>
      <c r="AK159" s="16" t="str">
        <f aca="false">IF(AND(ISNUMBER(SEARCH(" UAH "," "&amp;SUBSTITUTE($I159,","," ")&amp;" ")),ISNUMBER($L159)),$L159,"")</f>
        <v/>
      </c>
      <c r="AL159" s="16" t="str">
        <f aca="false">IF(AND(ISNUMBER(SEARCH(" RB "," "&amp;SUBSTITUTE($I159,","," ")&amp;" ")),ISNUMBER($L159)),$L159,"")</f>
        <v/>
      </c>
    </row>
    <row r="160" customFormat="false" ht="15" hidden="false" customHeight="false" outlineLevel="0" collapsed="false">
      <c r="M160" s="13" t="str">
        <f aca="false">IF(ISNUMBER(L160),IF(L160&lt;K160,"Gap","OK"),IF(L160="N/A","N/A",""))</f>
        <v/>
      </c>
      <c r="P160" s="13" t="str">
        <f aca="false">IF(AND(M160="Gap",N160&lt;&gt;"",O160&lt;&gt;""),VLOOKUP(N160&amp;O160,Lists!$H$4:$I$12,2,FALSE()),"")</f>
        <v/>
      </c>
      <c r="Q160" s="13" t="str">
        <f aca="false">IF(AND(M160="Gap",O160="S",OR(N160="H",N160="M")),"Yes","")</f>
        <v/>
      </c>
      <c r="S160" s="14" t="str">
        <f aca="false">IF(A160="","",IFERROR(IF(OR(VLOOKUP(A160,AutoEvidence!$A$2:$G$400,2,FALSE())="Collected",VLOOKUP(A160,AutoEvidence!$A$2:$G$400,2,FALSE())="Partial"),VLOOKUP(A160,AutoEvidence!$A$2:$G$400,3,FALSE())&amp;" ("&amp;VLOOKUP(A160,AutoEvidence!$A$2:$G$400,2,FALSE())&amp;")",VLOOKUP(A160,AutoEvidence!$A$2:$G$400,2,FALSE())),""))</f>
        <v/>
      </c>
      <c r="T160" s="7" t="str">
        <f aca="false">IF(A160="","",IFERROR(VLOOKUP(A160,AutoEvidence!$A$2:$G$400,4,FALSE())&amp;"",""))</f>
        <v/>
      </c>
      <c r="AB160" s="13" t="str">
        <f aca="false">IF(M160="Gap",1,IF(M160="OK",0,""))</f>
        <v/>
      </c>
      <c r="AC160" s="16" t="str">
        <f aca="false">IF(P160&lt;&gt;"",VALUE(RIGHT(P160,1))*1000+ROW(),"")</f>
        <v/>
      </c>
      <c r="AD160" s="16" t="str">
        <f aca="false">IF(ISNUMBER(L160),MIN(L160,K160),"")</f>
        <v/>
      </c>
      <c r="AE160" s="16" t="str">
        <f aca="false">IF(AND(ISNUMBER(SEARCH(" PA "," "&amp;SUBSTITUTE($I160,","," ")&amp;" ")),ISNUMBER($L160)),$L160,"")</f>
        <v/>
      </c>
      <c r="AF160" s="16" t="str">
        <f aca="false">IF(AND(ISNUMBER(SEARCH(" PO "," "&amp;SUBSTITUTE($I160,","," ")&amp;" ")),ISNUMBER($L160)),$L160,"")</f>
        <v/>
      </c>
      <c r="AG160" s="16" t="str">
        <f aca="false">IF(AND(ISNUMBER(SEARCH(" MFA "," "&amp;SUBSTITUTE($I160,","," ")&amp;" ")),ISNUMBER($L160)),$L160,"")</f>
        <v/>
      </c>
      <c r="AH160" s="16" t="str">
        <f aca="false">IF(AND(ISNUMBER(SEARCH(" RAP "," "&amp;SUBSTITUTE($I160,","," ")&amp;" ")),ISNUMBER($L160)),$L160,"")</f>
        <v/>
      </c>
      <c r="AI160" s="16" t="str">
        <f aca="false">IF(AND(ISNUMBER(SEARCH(" AC "," "&amp;SUBSTITUTE($I160,","," ")&amp;" ")),ISNUMBER($L160)),$L160,"")</f>
        <v/>
      </c>
      <c r="AJ160" s="16" t="str">
        <f aca="false">IF(AND(ISNUMBER(SEARCH(" MAC "," "&amp;SUBSTITUTE($I160,","," ")&amp;" ")),ISNUMBER($L160)),$L160,"")</f>
        <v/>
      </c>
      <c r="AK160" s="16" t="str">
        <f aca="false">IF(AND(ISNUMBER(SEARCH(" UAH "," "&amp;SUBSTITUTE($I160,","," ")&amp;" ")),ISNUMBER($L160)),$L160,"")</f>
        <v/>
      </c>
      <c r="AL160" s="16" t="str">
        <f aca="false">IF(AND(ISNUMBER(SEARCH(" RB "," "&amp;SUBSTITUTE($I160,","," ")&amp;" ")),ISNUMBER($L160)),$L160,"")</f>
        <v/>
      </c>
    </row>
    <row r="161" customFormat="false" ht="15" hidden="false" customHeight="false" outlineLevel="0" collapsed="false">
      <c r="M161" s="13" t="str">
        <f aca="false">IF(ISNUMBER(L161),IF(L161&lt;K161,"Gap","OK"),IF(L161="N/A","N/A",""))</f>
        <v/>
      </c>
      <c r="P161" s="13" t="str">
        <f aca="false">IF(AND(M161="Gap",N161&lt;&gt;"",O161&lt;&gt;""),VLOOKUP(N161&amp;O161,Lists!$H$4:$I$12,2,FALSE()),"")</f>
        <v/>
      </c>
      <c r="Q161" s="13" t="str">
        <f aca="false">IF(AND(M161="Gap",O161="S",OR(N161="H",N161="M")),"Yes","")</f>
        <v/>
      </c>
      <c r="S161" s="14" t="str">
        <f aca="false">IF(A161="","",IFERROR(IF(OR(VLOOKUP(A161,AutoEvidence!$A$2:$G$400,2,FALSE())="Collected",VLOOKUP(A161,AutoEvidence!$A$2:$G$400,2,FALSE())="Partial"),VLOOKUP(A161,AutoEvidence!$A$2:$G$400,3,FALSE())&amp;" ("&amp;VLOOKUP(A161,AutoEvidence!$A$2:$G$400,2,FALSE())&amp;")",VLOOKUP(A161,AutoEvidence!$A$2:$G$400,2,FALSE())),""))</f>
        <v/>
      </c>
      <c r="T161" s="7" t="str">
        <f aca="false">IF(A161="","",IFERROR(VLOOKUP(A161,AutoEvidence!$A$2:$G$400,4,FALSE())&amp;"",""))</f>
        <v/>
      </c>
      <c r="AB161" s="13" t="str">
        <f aca="false">IF(M161="Gap",1,IF(M161="OK",0,""))</f>
        <v/>
      </c>
      <c r="AC161" s="16" t="str">
        <f aca="false">IF(P161&lt;&gt;"",VALUE(RIGHT(P161,1))*1000+ROW(),"")</f>
        <v/>
      </c>
      <c r="AD161" s="16" t="str">
        <f aca="false">IF(ISNUMBER(L161),MIN(L161,K161),"")</f>
        <v/>
      </c>
      <c r="AE161" s="16" t="str">
        <f aca="false">IF(AND(ISNUMBER(SEARCH(" PA "," "&amp;SUBSTITUTE($I161,","," ")&amp;" ")),ISNUMBER($L161)),$L161,"")</f>
        <v/>
      </c>
      <c r="AF161" s="16" t="str">
        <f aca="false">IF(AND(ISNUMBER(SEARCH(" PO "," "&amp;SUBSTITUTE($I161,","," ")&amp;" ")),ISNUMBER($L161)),$L161,"")</f>
        <v/>
      </c>
      <c r="AG161" s="16" t="str">
        <f aca="false">IF(AND(ISNUMBER(SEARCH(" MFA "," "&amp;SUBSTITUTE($I161,","," ")&amp;" ")),ISNUMBER($L161)),$L161,"")</f>
        <v/>
      </c>
      <c r="AH161" s="16" t="str">
        <f aca="false">IF(AND(ISNUMBER(SEARCH(" RAP "," "&amp;SUBSTITUTE($I161,","," ")&amp;" ")),ISNUMBER($L161)),$L161,"")</f>
        <v/>
      </c>
      <c r="AI161" s="16" t="str">
        <f aca="false">IF(AND(ISNUMBER(SEARCH(" AC "," "&amp;SUBSTITUTE($I161,","," ")&amp;" ")),ISNUMBER($L161)),$L161,"")</f>
        <v/>
      </c>
      <c r="AJ161" s="16" t="str">
        <f aca="false">IF(AND(ISNUMBER(SEARCH(" MAC "," "&amp;SUBSTITUTE($I161,","," ")&amp;" ")),ISNUMBER($L161)),$L161,"")</f>
        <v/>
      </c>
      <c r="AK161" s="16" t="str">
        <f aca="false">IF(AND(ISNUMBER(SEARCH(" UAH "," "&amp;SUBSTITUTE($I161,","," ")&amp;" ")),ISNUMBER($L161)),$L161,"")</f>
        <v/>
      </c>
      <c r="AL161" s="16" t="str">
        <f aca="false">IF(AND(ISNUMBER(SEARCH(" RB "," "&amp;SUBSTITUTE($I161,","," ")&amp;" ")),ISNUMBER($L161)),$L161,"")</f>
        <v/>
      </c>
    </row>
    <row r="162" customFormat="false" ht="15" hidden="false" customHeight="false" outlineLevel="0" collapsed="false">
      <c r="M162" s="13" t="str">
        <f aca="false">IF(ISNUMBER(L162),IF(L162&lt;K162,"Gap","OK"),IF(L162="N/A","N/A",""))</f>
        <v/>
      </c>
      <c r="P162" s="13" t="str">
        <f aca="false">IF(AND(M162="Gap",N162&lt;&gt;"",O162&lt;&gt;""),VLOOKUP(N162&amp;O162,Lists!$H$4:$I$12,2,FALSE()),"")</f>
        <v/>
      </c>
      <c r="Q162" s="13" t="str">
        <f aca="false">IF(AND(M162="Gap",O162="S",OR(N162="H",N162="M")),"Yes","")</f>
        <v/>
      </c>
      <c r="S162" s="14" t="str">
        <f aca="false">IF(A162="","",IFERROR(IF(OR(VLOOKUP(A162,AutoEvidence!$A$2:$G$400,2,FALSE())="Collected",VLOOKUP(A162,AutoEvidence!$A$2:$G$400,2,FALSE())="Partial"),VLOOKUP(A162,AutoEvidence!$A$2:$G$400,3,FALSE())&amp;" ("&amp;VLOOKUP(A162,AutoEvidence!$A$2:$G$400,2,FALSE())&amp;")",VLOOKUP(A162,AutoEvidence!$A$2:$G$400,2,FALSE())),""))</f>
        <v/>
      </c>
      <c r="T162" s="7" t="str">
        <f aca="false">IF(A162="","",IFERROR(VLOOKUP(A162,AutoEvidence!$A$2:$G$400,4,FALSE())&amp;"",""))</f>
        <v/>
      </c>
      <c r="AB162" s="13" t="str">
        <f aca="false">IF(M162="Gap",1,IF(M162="OK",0,""))</f>
        <v/>
      </c>
      <c r="AC162" s="16" t="str">
        <f aca="false">IF(P162&lt;&gt;"",VALUE(RIGHT(P162,1))*1000+ROW(),"")</f>
        <v/>
      </c>
      <c r="AD162" s="16" t="str">
        <f aca="false">IF(ISNUMBER(L162),MIN(L162,K162),"")</f>
        <v/>
      </c>
      <c r="AE162" s="16" t="str">
        <f aca="false">IF(AND(ISNUMBER(SEARCH(" PA "," "&amp;SUBSTITUTE($I162,","," ")&amp;" ")),ISNUMBER($L162)),$L162,"")</f>
        <v/>
      </c>
      <c r="AF162" s="16" t="str">
        <f aca="false">IF(AND(ISNUMBER(SEARCH(" PO "," "&amp;SUBSTITUTE($I162,","," ")&amp;" ")),ISNUMBER($L162)),$L162,"")</f>
        <v/>
      </c>
      <c r="AG162" s="16" t="str">
        <f aca="false">IF(AND(ISNUMBER(SEARCH(" MFA "," "&amp;SUBSTITUTE($I162,","," ")&amp;" ")),ISNUMBER($L162)),$L162,"")</f>
        <v/>
      </c>
      <c r="AH162" s="16" t="str">
        <f aca="false">IF(AND(ISNUMBER(SEARCH(" RAP "," "&amp;SUBSTITUTE($I162,","," ")&amp;" ")),ISNUMBER($L162)),$L162,"")</f>
        <v/>
      </c>
      <c r="AI162" s="16" t="str">
        <f aca="false">IF(AND(ISNUMBER(SEARCH(" AC "," "&amp;SUBSTITUTE($I162,","," ")&amp;" ")),ISNUMBER($L162)),$L162,"")</f>
        <v/>
      </c>
      <c r="AJ162" s="16" t="str">
        <f aca="false">IF(AND(ISNUMBER(SEARCH(" MAC "," "&amp;SUBSTITUTE($I162,","," ")&amp;" ")),ISNUMBER($L162)),$L162,"")</f>
        <v/>
      </c>
      <c r="AK162" s="16" t="str">
        <f aca="false">IF(AND(ISNUMBER(SEARCH(" UAH "," "&amp;SUBSTITUTE($I162,","," ")&amp;" ")),ISNUMBER($L162)),$L162,"")</f>
        <v/>
      </c>
      <c r="AL162" s="16" t="str">
        <f aca="false">IF(AND(ISNUMBER(SEARCH(" RB "," "&amp;SUBSTITUTE($I162,","," ")&amp;" ")),ISNUMBER($L162)),$L162,"")</f>
        <v/>
      </c>
    </row>
    <row r="163" customFormat="false" ht="15" hidden="false" customHeight="false" outlineLevel="0" collapsed="false">
      <c r="M163" s="13" t="str">
        <f aca="false">IF(ISNUMBER(L163),IF(L163&lt;K163,"Gap","OK"),IF(L163="N/A","N/A",""))</f>
        <v/>
      </c>
      <c r="P163" s="13" t="str">
        <f aca="false">IF(AND(M163="Gap",N163&lt;&gt;"",O163&lt;&gt;""),VLOOKUP(N163&amp;O163,Lists!$H$4:$I$12,2,FALSE()),"")</f>
        <v/>
      </c>
      <c r="Q163" s="13" t="str">
        <f aca="false">IF(AND(M163="Gap",O163="S",OR(N163="H",N163="M")),"Yes","")</f>
        <v/>
      </c>
      <c r="S163" s="14" t="str">
        <f aca="false">IF(A163="","",IFERROR(IF(OR(VLOOKUP(A163,AutoEvidence!$A$2:$G$400,2,FALSE())="Collected",VLOOKUP(A163,AutoEvidence!$A$2:$G$400,2,FALSE())="Partial"),VLOOKUP(A163,AutoEvidence!$A$2:$G$400,3,FALSE())&amp;" ("&amp;VLOOKUP(A163,AutoEvidence!$A$2:$G$400,2,FALSE())&amp;")",VLOOKUP(A163,AutoEvidence!$A$2:$G$400,2,FALSE())),""))</f>
        <v/>
      </c>
      <c r="T163" s="7" t="str">
        <f aca="false">IF(A163="","",IFERROR(VLOOKUP(A163,AutoEvidence!$A$2:$G$400,4,FALSE())&amp;"",""))</f>
        <v/>
      </c>
      <c r="AB163" s="13" t="str">
        <f aca="false">IF(M163="Gap",1,IF(M163="OK",0,""))</f>
        <v/>
      </c>
      <c r="AC163" s="16" t="str">
        <f aca="false">IF(P163&lt;&gt;"",VALUE(RIGHT(P163,1))*1000+ROW(),"")</f>
        <v/>
      </c>
      <c r="AD163" s="16" t="str">
        <f aca="false">IF(ISNUMBER(L163),MIN(L163,K163),"")</f>
        <v/>
      </c>
      <c r="AE163" s="16" t="str">
        <f aca="false">IF(AND(ISNUMBER(SEARCH(" PA "," "&amp;SUBSTITUTE($I163,","," ")&amp;" ")),ISNUMBER($L163)),$L163,"")</f>
        <v/>
      </c>
      <c r="AF163" s="16" t="str">
        <f aca="false">IF(AND(ISNUMBER(SEARCH(" PO "," "&amp;SUBSTITUTE($I163,","," ")&amp;" ")),ISNUMBER($L163)),$L163,"")</f>
        <v/>
      </c>
      <c r="AG163" s="16" t="str">
        <f aca="false">IF(AND(ISNUMBER(SEARCH(" MFA "," "&amp;SUBSTITUTE($I163,","," ")&amp;" ")),ISNUMBER($L163)),$L163,"")</f>
        <v/>
      </c>
      <c r="AH163" s="16" t="str">
        <f aca="false">IF(AND(ISNUMBER(SEARCH(" RAP "," "&amp;SUBSTITUTE($I163,","," ")&amp;" ")),ISNUMBER($L163)),$L163,"")</f>
        <v/>
      </c>
      <c r="AI163" s="16" t="str">
        <f aca="false">IF(AND(ISNUMBER(SEARCH(" AC "," "&amp;SUBSTITUTE($I163,","," ")&amp;" ")),ISNUMBER($L163)),$L163,"")</f>
        <v/>
      </c>
      <c r="AJ163" s="16" t="str">
        <f aca="false">IF(AND(ISNUMBER(SEARCH(" MAC "," "&amp;SUBSTITUTE($I163,","," ")&amp;" ")),ISNUMBER($L163)),$L163,"")</f>
        <v/>
      </c>
      <c r="AK163" s="16" t="str">
        <f aca="false">IF(AND(ISNUMBER(SEARCH(" UAH "," "&amp;SUBSTITUTE($I163,","," ")&amp;" ")),ISNUMBER($L163)),$L163,"")</f>
        <v/>
      </c>
      <c r="AL163" s="16" t="str">
        <f aca="false">IF(AND(ISNUMBER(SEARCH(" RB "," "&amp;SUBSTITUTE($I163,","," ")&amp;" ")),ISNUMBER($L163)),$L163,"")</f>
        <v/>
      </c>
    </row>
    <row r="164" customFormat="false" ht="15" hidden="false" customHeight="false" outlineLevel="0" collapsed="false">
      <c r="M164" s="13" t="str">
        <f aca="false">IF(ISNUMBER(L164),IF(L164&lt;K164,"Gap","OK"),IF(L164="N/A","N/A",""))</f>
        <v/>
      </c>
      <c r="P164" s="13" t="str">
        <f aca="false">IF(AND(M164="Gap",N164&lt;&gt;"",O164&lt;&gt;""),VLOOKUP(N164&amp;O164,Lists!$H$4:$I$12,2,FALSE()),"")</f>
        <v/>
      </c>
      <c r="Q164" s="13" t="str">
        <f aca="false">IF(AND(M164="Gap",O164="S",OR(N164="H",N164="M")),"Yes","")</f>
        <v/>
      </c>
      <c r="S164" s="14" t="str">
        <f aca="false">IF(A164="","",IFERROR(IF(OR(VLOOKUP(A164,AutoEvidence!$A$2:$G$400,2,FALSE())="Collected",VLOOKUP(A164,AutoEvidence!$A$2:$G$400,2,FALSE())="Partial"),VLOOKUP(A164,AutoEvidence!$A$2:$G$400,3,FALSE())&amp;" ("&amp;VLOOKUP(A164,AutoEvidence!$A$2:$G$400,2,FALSE())&amp;")",VLOOKUP(A164,AutoEvidence!$A$2:$G$400,2,FALSE())),""))</f>
        <v/>
      </c>
      <c r="T164" s="7" t="str">
        <f aca="false">IF(A164="","",IFERROR(VLOOKUP(A164,AutoEvidence!$A$2:$G$400,4,FALSE())&amp;"",""))</f>
        <v/>
      </c>
      <c r="AB164" s="13" t="str">
        <f aca="false">IF(M164="Gap",1,IF(M164="OK",0,""))</f>
        <v/>
      </c>
      <c r="AC164" s="16" t="str">
        <f aca="false">IF(P164&lt;&gt;"",VALUE(RIGHT(P164,1))*1000+ROW(),"")</f>
        <v/>
      </c>
      <c r="AD164" s="16" t="str">
        <f aca="false">IF(ISNUMBER(L164),MIN(L164,K164),"")</f>
        <v/>
      </c>
      <c r="AE164" s="16" t="str">
        <f aca="false">IF(AND(ISNUMBER(SEARCH(" PA "," "&amp;SUBSTITUTE($I164,","," ")&amp;" ")),ISNUMBER($L164)),$L164,"")</f>
        <v/>
      </c>
      <c r="AF164" s="16" t="str">
        <f aca="false">IF(AND(ISNUMBER(SEARCH(" PO "," "&amp;SUBSTITUTE($I164,","," ")&amp;" ")),ISNUMBER($L164)),$L164,"")</f>
        <v/>
      </c>
      <c r="AG164" s="16" t="str">
        <f aca="false">IF(AND(ISNUMBER(SEARCH(" MFA "," "&amp;SUBSTITUTE($I164,","," ")&amp;" ")),ISNUMBER($L164)),$L164,"")</f>
        <v/>
      </c>
      <c r="AH164" s="16" t="str">
        <f aca="false">IF(AND(ISNUMBER(SEARCH(" RAP "," "&amp;SUBSTITUTE($I164,","," ")&amp;" ")),ISNUMBER($L164)),$L164,"")</f>
        <v/>
      </c>
      <c r="AI164" s="16" t="str">
        <f aca="false">IF(AND(ISNUMBER(SEARCH(" AC "," "&amp;SUBSTITUTE($I164,","," ")&amp;" ")),ISNUMBER($L164)),$L164,"")</f>
        <v/>
      </c>
      <c r="AJ164" s="16" t="str">
        <f aca="false">IF(AND(ISNUMBER(SEARCH(" MAC "," "&amp;SUBSTITUTE($I164,","," ")&amp;" ")),ISNUMBER($L164)),$L164,"")</f>
        <v/>
      </c>
      <c r="AK164" s="16" t="str">
        <f aca="false">IF(AND(ISNUMBER(SEARCH(" UAH "," "&amp;SUBSTITUTE($I164,","," ")&amp;" ")),ISNUMBER($L164)),$L164,"")</f>
        <v/>
      </c>
      <c r="AL164" s="16" t="str">
        <f aca="false">IF(AND(ISNUMBER(SEARCH(" RB "," "&amp;SUBSTITUTE($I164,","," ")&amp;" ")),ISNUMBER($L164)),$L164,"")</f>
        <v/>
      </c>
    </row>
    <row r="165" customFormat="false" ht="15" hidden="false" customHeight="false" outlineLevel="0" collapsed="false">
      <c r="M165" s="13" t="str">
        <f aca="false">IF(ISNUMBER(L165),IF(L165&lt;K165,"Gap","OK"),IF(L165="N/A","N/A",""))</f>
        <v/>
      </c>
      <c r="P165" s="13" t="str">
        <f aca="false">IF(AND(M165="Gap",N165&lt;&gt;"",O165&lt;&gt;""),VLOOKUP(N165&amp;O165,Lists!$H$4:$I$12,2,FALSE()),"")</f>
        <v/>
      </c>
      <c r="Q165" s="13" t="str">
        <f aca="false">IF(AND(M165="Gap",O165="S",OR(N165="H",N165="M")),"Yes","")</f>
        <v/>
      </c>
      <c r="S165" s="14" t="str">
        <f aca="false">IF(A165="","",IFERROR(IF(OR(VLOOKUP(A165,AutoEvidence!$A$2:$G$400,2,FALSE())="Collected",VLOOKUP(A165,AutoEvidence!$A$2:$G$400,2,FALSE())="Partial"),VLOOKUP(A165,AutoEvidence!$A$2:$G$400,3,FALSE())&amp;" ("&amp;VLOOKUP(A165,AutoEvidence!$A$2:$G$400,2,FALSE())&amp;")",VLOOKUP(A165,AutoEvidence!$A$2:$G$400,2,FALSE())),""))</f>
        <v/>
      </c>
      <c r="T165" s="7" t="str">
        <f aca="false">IF(A165="","",IFERROR(VLOOKUP(A165,AutoEvidence!$A$2:$G$400,4,FALSE())&amp;"",""))</f>
        <v/>
      </c>
      <c r="AB165" s="13" t="str">
        <f aca="false">IF(M165="Gap",1,IF(M165="OK",0,""))</f>
        <v/>
      </c>
      <c r="AC165" s="16" t="str">
        <f aca="false">IF(P165&lt;&gt;"",VALUE(RIGHT(P165,1))*1000+ROW(),"")</f>
        <v/>
      </c>
      <c r="AD165" s="16" t="str">
        <f aca="false">IF(ISNUMBER(L165),MIN(L165,K165),"")</f>
        <v/>
      </c>
      <c r="AE165" s="16" t="str">
        <f aca="false">IF(AND(ISNUMBER(SEARCH(" PA "," "&amp;SUBSTITUTE($I165,","," ")&amp;" ")),ISNUMBER($L165)),$L165,"")</f>
        <v/>
      </c>
      <c r="AF165" s="16" t="str">
        <f aca="false">IF(AND(ISNUMBER(SEARCH(" PO "," "&amp;SUBSTITUTE($I165,","," ")&amp;" ")),ISNUMBER($L165)),$L165,"")</f>
        <v/>
      </c>
      <c r="AG165" s="16" t="str">
        <f aca="false">IF(AND(ISNUMBER(SEARCH(" MFA "," "&amp;SUBSTITUTE($I165,","," ")&amp;" ")),ISNUMBER($L165)),$L165,"")</f>
        <v/>
      </c>
      <c r="AH165" s="16" t="str">
        <f aca="false">IF(AND(ISNUMBER(SEARCH(" RAP "," "&amp;SUBSTITUTE($I165,","," ")&amp;" ")),ISNUMBER($L165)),$L165,"")</f>
        <v/>
      </c>
      <c r="AI165" s="16" t="str">
        <f aca="false">IF(AND(ISNUMBER(SEARCH(" AC "," "&amp;SUBSTITUTE($I165,","," ")&amp;" ")),ISNUMBER($L165)),$L165,"")</f>
        <v/>
      </c>
      <c r="AJ165" s="16" t="str">
        <f aca="false">IF(AND(ISNUMBER(SEARCH(" MAC "," "&amp;SUBSTITUTE($I165,","," ")&amp;" ")),ISNUMBER($L165)),$L165,"")</f>
        <v/>
      </c>
      <c r="AK165" s="16" t="str">
        <f aca="false">IF(AND(ISNUMBER(SEARCH(" UAH "," "&amp;SUBSTITUTE($I165,","," ")&amp;" ")),ISNUMBER($L165)),$L165,"")</f>
        <v/>
      </c>
      <c r="AL165" s="16" t="str">
        <f aca="false">IF(AND(ISNUMBER(SEARCH(" RB "," "&amp;SUBSTITUTE($I165,","," ")&amp;" ")),ISNUMBER($L165)),$L165,"")</f>
        <v/>
      </c>
    </row>
    <row r="166" customFormat="false" ht="15" hidden="false" customHeight="false" outlineLevel="0" collapsed="false">
      <c r="M166" s="13" t="str">
        <f aca="false">IF(ISNUMBER(L166),IF(L166&lt;K166,"Gap","OK"),IF(L166="N/A","N/A",""))</f>
        <v/>
      </c>
      <c r="P166" s="13" t="str">
        <f aca="false">IF(AND(M166="Gap",N166&lt;&gt;"",O166&lt;&gt;""),VLOOKUP(N166&amp;O166,Lists!$H$4:$I$12,2,FALSE()),"")</f>
        <v/>
      </c>
      <c r="Q166" s="13" t="str">
        <f aca="false">IF(AND(M166="Gap",O166="S",OR(N166="H",N166="M")),"Yes","")</f>
        <v/>
      </c>
      <c r="S166" s="14" t="str">
        <f aca="false">IF(A166="","",IFERROR(IF(OR(VLOOKUP(A166,AutoEvidence!$A$2:$G$400,2,FALSE())="Collected",VLOOKUP(A166,AutoEvidence!$A$2:$G$400,2,FALSE())="Partial"),VLOOKUP(A166,AutoEvidence!$A$2:$G$400,3,FALSE())&amp;" ("&amp;VLOOKUP(A166,AutoEvidence!$A$2:$G$400,2,FALSE())&amp;")",VLOOKUP(A166,AutoEvidence!$A$2:$G$400,2,FALSE())),""))</f>
        <v/>
      </c>
      <c r="T166" s="7" t="str">
        <f aca="false">IF(A166="","",IFERROR(VLOOKUP(A166,AutoEvidence!$A$2:$G$400,4,FALSE())&amp;"",""))</f>
        <v/>
      </c>
      <c r="AB166" s="13" t="str">
        <f aca="false">IF(M166="Gap",1,IF(M166="OK",0,""))</f>
        <v/>
      </c>
      <c r="AC166" s="16" t="str">
        <f aca="false">IF(P166&lt;&gt;"",VALUE(RIGHT(P166,1))*1000+ROW(),"")</f>
        <v/>
      </c>
      <c r="AD166" s="16" t="str">
        <f aca="false">IF(ISNUMBER(L166),MIN(L166,K166),"")</f>
        <v/>
      </c>
      <c r="AE166" s="16" t="str">
        <f aca="false">IF(AND(ISNUMBER(SEARCH(" PA "," "&amp;SUBSTITUTE($I166,","," ")&amp;" ")),ISNUMBER($L166)),$L166,"")</f>
        <v/>
      </c>
      <c r="AF166" s="16" t="str">
        <f aca="false">IF(AND(ISNUMBER(SEARCH(" PO "," "&amp;SUBSTITUTE($I166,","," ")&amp;" ")),ISNUMBER($L166)),$L166,"")</f>
        <v/>
      </c>
      <c r="AG166" s="16" t="str">
        <f aca="false">IF(AND(ISNUMBER(SEARCH(" MFA "," "&amp;SUBSTITUTE($I166,","," ")&amp;" ")),ISNUMBER($L166)),$L166,"")</f>
        <v/>
      </c>
      <c r="AH166" s="16" t="str">
        <f aca="false">IF(AND(ISNUMBER(SEARCH(" RAP "," "&amp;SUBSTITUTE($I166,","," ")&amp;" ")),ISNUMBER($L166)),$L166,"")</f>
        <v/>
      </c>
      <c r="AI166" s="16" t="str">
        <f aca="false">IF(AND(ISNUMBER(SEARCH(" AC "," "&amp;SUBSTITUTE($I166,","," ")&amp;" ")),ISNUMBER($L166)),$L166,"")</f>
        <v/>
      </c>
      <c r="AJ166" s="16" t="str">
        <f aca="false">IF(AND(ISNUMBER(SEARCH(" MAC "," "&amp;SUBSTITUTE($I166,","," ")&amp;" ")),ISNUMBER($L166)),$L166,"")</f>
        <v/>
      </c>
      <c r="AK166" s="16" t="str">
        <f aca="false">IF(AND(ISNUMBER(SEARCH(" UAH "," "&amp;SUBSTITUTE($I166,","," ")&amp;" ")),ISNUMBER($L166)),$L166,"")</f>
        <v/>
      </c>
      <c r="AL166" s="16" t="str">
        <f aca="false">IF(AND(ISNUMBER(SEARCH(" RB "," "&amp;SUBSTITUTE($I166,","," ")&amp;" ")),ISNUMBER($L166)),$L166,"")</f>
        <v/>
      </c>
    </row>
    <row r="167" customFormat="false" ht="15" hidden="false" customHeight="false" outlineLevel="0" collapsed="false">
      <c r="M167" s="13" t="str">
        <f aca="false">IF(ISNUMBER(L167),IF(L167&lt;K167,"Gap","OK"),IF(L167="N/A","N/A",""))</f>
        <v/>
      </c>
      <c r="P167" s="13" t="str">
        <f aca="false">IF(AND(M167="Gap",N167&lt;&gt;"",O167&lt;&gt;""),VLOOKUP(N167&amp;O167,Lists!$H$4:$I$12,2,FALSE()),"")</f>
        <v/>
      </c>
      <c r="Q167" s="13" t="str">
        <f aca="false">IF(AND(M167="Gap",O167="S",OR(N167="H",N167="M")),"Yes","")</f>
        <v/>
      </c>
      <c r="S167" s="14" t="str">
        <f aca="false">IF(A167="","",IFERROR(IF(OR(VLOOKUP(A167,AutoEvidence!$A$2:$G$400,2,FALSE())="Collected",VLOOKUP(A167,AutoEvidence!$A$2:$G$400,2,FALSE())="Partial"),VLOOKUP(A167,AutoEvidence!$A$2:$G$400,3,FALSE())&amp;" ("&amp;VLOOKUP(A167,AutoEvidence!$A$2:$G$400,2,FALSE())&amp;")",VLOOKUP(A167,AutoEvidence!$A$2:$G$400,2,FALSE())),""))</f>
        <v/>
      </c>
      <c r="T167" s="7" t="str">
        <f aca="false">IF(A167="","",IFERROR(VLOOKUP(A167,AutoEvidence!$A$2:$G$400,4,FALSE())&amp;"",""))</f>
        <v/>
      </c>
      <c r="AB167" s="13" t="str">
        <f aca="false">IF(M167="Gap",1,IF(M167="OK",0,""))</f>
        <v/>
      </c>
      <c r="AC167" s="16" t="str">
        <f aca="false">IF(P167&lt;&gt;"",VALUE(RIGHT(P167,1))*1000+ROW(),"")</f>
        <v/>
      </c>
      <c r="AD167" s="16" t="str">
        <f aca="false">IF(ISNUMBER(L167),MIN(L167,K167),"")</f>
        <v/>
      </c>
      <c r="AE167" s="16" t="str">
        <f aca="false">IF(AND(ISNUMBER(SEARCH(" PA "," "&amp;SUBSTITUTE($I167,","," ")&amp;" ")),ISNUMBER($L167)),$L167,"")</f>
        <v/>
      </c>
      <c r="AF167" s="16" t="str">
        <f aca="false">IF(AND(ISNUMBER(SEARCH(" PO "," "&amp;SUBSTITUTE($I167,","," ")&amp;" ")),ISNUMBER($L167)),$L167,"")</f>
        <v/>
      </c>
      <c r="AG167" s="16" t="str">
        <f aca="false">IF(AND(ISNUMBER(SEARCH(" MFA "," "&amp;SUBSTITUTE($I167,","," ")&amp;" ")),ISNUMBER($L167)),$L167,"")</f>
        <v/>
      </c>
      <c r="AH167" s="16" t="str">
        <f aca="false">IF(AND(ISNUMBER(SEARCH(" RAP "," "&amp;SUBSTITUTE($I167,","," ")&amp;" ")),ISNUMBER($L167)),$L167,"")</f>
        <v/>
      </c>
      <c r="AI167" s="16" t="str">
        <f aca="false">IF(AND(ISNUMBER(SEARCH(" AC "," "&amp;SUBSTITUTE($I167,","," ")&amp;" ")),ISNUMBER($L167)),$L167,"")</f>
        <v/>
      </c>
      <c r="AJ167" s="16" t="str">
        <f aca="false">IF(AND(ISNUMBER(SEARCH(" MAC "," "&amp;SUBSTITUTE($I167,","," ")&amp;" ")),ISNUMBER($L167)),$L167,"")</f>
        <v/>
      </c>
      <c r="AK167" s="16" t="str">
        <f aca="false">IF(AND(ISNUMBER(SEARCH(" UAH "," "&amp;SUBSTITUTE($I167,","," ")&amp;" ")),ISNUMBER($L167)),$L167,"")</f>
        <v/>
      </c>
      <c r="AL167" s="16" t="str">
        <f aca="false">IF(AND(ISNUMBER(SEARCH(" RB "," "&amp;SUBSTITUTE($I167,","," ")&amp;" ")),ISNUMBER($L167)),$L167,"")</f>
        <v/>
      </c>
    </row>
    <row r="168" customFormat="false" ht="15" hidden="false" customHeight="false" outlineLevel="0" collapsed="false">
      <c r="M168" s="13" t="str">
        <f aca="false">IF(ISNUMBER(L168),IF(L168&lt;K168,"Gap","OK"),IF(L168="N/A","N/A",""))</f>
        <v/>
      </c>
      <c r="P168" s="13" t="str">
        <f aca="false">IF(AND(M168="Gap",N168&lt;&gt;"",O168&lt;&gt;""),VLOOKUP(N168&amp;O168,Lists!$H$4:$I$12,2,FALSE()),"")</f>
        <v/>
      </c>
      <c r="Q168" s="13" t="str">
        <f aca="false">IF(AND(M168="Gap",O168="S",OR(N168="H",N168="M")),"Yes","")</f>
        <v/>
      </c>
      <c r="S168" s="14" t="str">
        <f aca="false">IF(A168="","",IFERROR(IF(OR(VLOOKUP(A168,AutoEvidence!$A$2:$G$400,2,FALSE())="Collected",VLOOKUP(A168,AutoEvidence!$A$2:$G$400,2,FALSE())="Partial"),VLOOKUP(A168,AutoEvidence!$A$2:$G$400,3,FALSE())&amp;" ("&amp;VLOOKUP(A168,AutoEvidence!$A$2:$G$400,2,FALSE())&amp;")",VLOOKUP(A168,AutoEvidence!$A$2:$G$400,2,FALSE())),""))</f>
        <v/>
      </c>
      <c r="T168" s="7" t="str">
        <f aca="false">IF(A168="","",IFERROR(VLOOKUP(A168,AutoEvidence!$A$2:$G$400,4,FALSE())&amp;"",""))</f>
        <v/>
      </c>
      <c r="AB168" s="13" t="str">
        <f aca="false">IF(M168="Gap",1,IF(M168="OK",0,""))</f>
        <v/>
      </c>
      <c r="AC168" s="16" t="str">
        <f aca="false">IF(P168&lt;&gt;"",VALUE(RIGHT(P168,1))*1000+ROW(),"")</f>
        <v/>
      </c>
      <c r="AD168" s="16" t="str">
        <f aca="false">IF(ISNUMBER(L168),MIN(L168,K168),"")</f>
        <v/>
      </c>
      <c r="AE168" s="16" t="str">
        <f aca="false">IF(AND(ISNUMBER(SEARCH(" PA "," "&amp;SUBSTITUTE($I168,","," ")&amp;" ")),ISNUMBER($L168)),$L168,"")</f>
        <v/>
      </c>
      <c r="AF168" s="16" t="str">
        <f aca="false">IF(AND(ISNUMBER(SEARCH(" PO "," "&amp;SUBSTITUTE($I168,","," ")&amp;" ")),ISNUMBER($L168)),$L168,"")</f>
        <v/>
      </c>
      <c r="AG168" s="16" t="str">
        <f aca="false">IF(AND(ISNUMBER(SEARCH(" MFA "," "&amp;SUBSTITUTE($I168,","," ")&amp;" ")),ISNUMBER($L168)),$L168,"")</f>
        <v/>
      </c>
      <c r="AH168" s="16" t="str">
        <f aca="false">IF(AND(ISNUMBER(SEARCH(" RAP "," "&amp;SUBSTITUTE($I168,","," ")&amp;" ")),ISNUMBER($L168)),$L168,"")</f>
        <v/>
      </c>
      <c r="AI168" s="16" t="str">
        <f aca="false">IF(AND(ISNUMBER(SEARCH(" AC "," "&amp;SUBSTITUTE($I168,","," ")&amp;" ")),ISNUMBER($L168)),$L168,"")</f>
        <v/>
      </c>
      <c r="AJ168" s="16" t="str">
        <f aca="false">IF(AND(ISNUMBER(SEARCH(" MAC "," "&amp;SUBSTITUTE($I168,","," ")&amp;" ")),ISNUMBER($L168)),$L168,"")</f>
        <v/>
      </c>
      <c r="AK168" s="16" t="str">
        <f aca="false">IF(AND(ISNUMBER(SEARCH(" UAH "," "&amp;SUBSTITUTE($I168,","," ")&amp;" ")),ISNUMBER($L168)),$L168,"")</f>
        <v/>
      </c>
      <c r="AL168" s="16" t="str">
        <f aca="false">IF(AND(ISNUMBER(SEARCH(" RB "," "&amp;SUBSTITUTE($I168,","," ")&amp;" ")),ISNUMBER($L168)),$L168,"")</f>
        <v/>
      </c>
    </row>
    <row r="169" customFormat="false" ht="15" hidden="false" customHeight="false" outlineLevel="0" collapsed="false">
      <c r="M169" s="13" t="str">
        <f aca="false">IF(ISNUMBER(L169),IF(L169&lt;K169,"Gap","OK"),IF(L169="N/A","N/A",""))</f>
        <v/>
      </c>
      <c r="P169" s="13" t="str">
        <f aca="false">IF(AND(M169="Gap",N169&lt;&gt;"",O169&lt;&gt;""),VLOOKUP(N169&amp;O169,Lists!$H$4:$I$12,2,FALSE()),"")</f>
        <v/>
      </c>
      <c r="Q169" s="13" t="str">
        <f aca="false">IF(AND(M169="Gap",O169="S",OR(N169="H",N169="M")),"Yes","")</f>
        <v/>
      </c>
      <c r="S169" s="14" t="str">
        <f aca="false">IF(A169="","",IFERROR(IF(OR(VLOOKUP(A169,AutoEvidence!$A$2:$G$400,2,FALSE())="Collected",VLOOKUP(A169,AutoEvidence!$A$2:$G$400,2,FALSE())="Partial"),VLOOKUP(A169,AutoEvidence!$A$2:$G$400,3,FALSE())&amp;" ("&amp;VLOOKUP(A169,AutoEvidence!$A$2:$G$400,2,FALSE())&amp;")",VLOOKUP(A169,AutoEvidence!$A$2:$G$400,2,FALSE())),""))</f>
        <v/>
      </c>
      <c r="T169" s="7" t="str">
        <f aca="false">IF(A169="","",IFERROR(VLOOKUP(A169,AutoEvidence!$A$2:$G$400,4,FALSE())&amp;"",""))</f>
        <v/>
      </c>
      <c r="AB169" s="13" t="str">
        <f aca="false">IF(M169="Gap",1,IF(M169="OK",0,""))</f>
        <v/>
      </c>
      <c r="AC169" s="16" t="str">
        <f aca="false">IF(P169&lt;&gt;"",VALUE(RIGHT(P169,1))*1000+ROW(),"")</f>
        <v/>
      </c>
      <c r="AD169" s="16" t="str">
        <f aca="false">IF(ISNUMBER(L169),MIN(L169,K169),"")</f>
        <v/>
      </c>
      <c r="AE169" s="16" t="str">
        <f aca="false">IF(AND(ISNUMBER(SEARCH(" PA "," "&amp;SUBSTITUTE($I169,","," ")&amp;" ")),ISNUMBER($L169)),$L169,"")</f>
        <v/>
      </c>
      <c r="AF169" s="16" t="str">
        <f aca="false">IF(AND(ISNUMBER(SEARCH(" PO "," "&amp;SUBSTITUTE($I169,","," ")&amp;" ")),ISNUMBER($L169)),$L169,"")</f>
        <v/>
      </c>
      <c r="AG169" s="16" t="str">
        <f aca="false">IF(AND(ISNUMBER(SEARCH(" MFA "," "&amp;SUBSTITUTE($I169,","," ")&amp;" ")),ISNUMBER($L169)),$L169,"")</f>
        <v/>
      </c>
      <c r="AH169" s="16" t="str">
        <f aca="false">IF(AND(ISNUMBER(SEARCH(" RAP "," "&amp;SUBSTITUTE($I169,","," ")&amp;" ")),ISNUMBER($L169)),$L169,"")</f>
        <v/>
      </c>
      <c r="AI169" s="16" t="str">
        <f aca="false">IF(AND(ISNUMBER(SEARCH(" AC "," "&amp;SUBSTITUTE($I169,","," ")&amp;" ")),ISNUMBER($L169)),$L169,"")</f>
        <v/>
      </c>
      <c r="AJ169" s="16" t="str">
        <f aca="false">IF(AND(ISNUMBER(SEARCH(" MAC "," "&amp;SUBSTITUTE($I169,","," ")&amp;" ")),ISNUMBER($L169)),$L169,"")</f>
        <v/>
      </c>
      <c r="AK169" s="16" t="str">
        <f aca="false">IF(AND(ISNUMBER(SEARCH(" UAH "," "&amp;SUBSTITUTE($I169,","," ")&amp;" ")),ISNUMBER($L169)),$L169,"")</f>
        <v/>
      </c>
      <c r="AL169" s="16" t="str">
        <f aca="false">IF(AND(ISNUMBER(SEARCH(" RB "," "&amp;SUBSTITUTE($I169,","," ")&amp;" ")),ISNUMBER($L169)),$L169,"")</f>
        <v/>
      </c>
    </row>
    <row r="170" customFormat="false" ht="15" hidden="false" customHeight="false" outlineLevel="0" collapsed="false">
      <c r="M170" s="13" t="str">
        <f aca="false">IF(ISNUMBER(L170),IF(L170&lt;K170,"Gap","OK"),IF(L170="N/A","N/A",""))</f>
        <v/>
      </c>
      <c r="P170" s="13" t="str">
        <f aca="false">IF(AND(M170="Gap",N170&lt;&gt;"",O170&lt;&gt;""),VLOOKUP(N170&amp;O170,Lists!$H$4:$I$12,2,FALSE()),"")</f>
        <v/>
      </c>
      <c r="Q170" s="13" t="str">
        <f aca="false">IF(AND(M170="Gap",O170="S",OR(N170="H",N170="M")),"Yes","")</f>
        <v/>
      </c>
      <c r="S170" s="14" t="str">
        <f aca="false">IF(A170="","",IFERROR(IF(OR(VLOOKUP(A170,AutoEvidence!$A$2:$G$400,2,FALSE())="Collected",VLOOKUP(A170,AutoEvidence!$A$2:$G$400,2,FALSE())="Partial"),VLOOKUP(A170,AutoEvidence!$A$2:$G$400,3,FALSE())&amp;" ("&amp;VLOOKUP(A170,AutoEvidence!$A$2:$G$400,2,FALSE())&amp;")",VLOOKUP(A170,AutoEvidence!$A$2:$G$400,2,FALSE())),""))</f>
        <v/>
      </c>
      <c r="T170" s="7" t="str">
        <f aca="false">IF(A170="","",IFERROR(VLOOKUP(A170,AutoEvidence!$A$2:$G$400,4,FALSE())&amp;"",""))</f>
        <v/>
      </c>
      <c r="AB170" s="13" t="str">
        <f aca="false">IF(M170="Gap",1,IF(M170="OK",0,""))</f>
        <v/>
      </c>
      <c r="AC170" s="16" t="str">
        <f aca="false">IF(P170&lt;&gt;"",VALUE(RIGHT(P170,1))*1000+ROW(),"")</f>
        <v/>
      </c>
      <c r="AD170" s="16" t="str">
        <f aca="false">IF(ISNUMBER(L170),MIN(L170,K170),"")</f>
        <v/>
      </c>
      <c r="AE170" s="16" t="str">
        <f aca="false">IF(AND(ISNUMBER(SEARCH(" PA "," "&amp;SUBSTITUTE($I170,","," ")&amp;" ")),ISNUMBER($L170)),$L170,"")</f>
        <v/>
      </c>
      <c r="AF170" s="16" t="str">
        <f aca="false">IF(AND(ISNUMBER(SEARCH(" PO "," "&amp;SUBSTITUTE($I170,","," ")&amp;" ")),ISNUMBER($L170)),$L170,"")</f>
        <v/>
      </c>
      <c r="AG170" s="16" t="str">
        <f aca="false">IF(AND(ISNUMBER(SEARCH(" MFA "," "&amp;SUBSTITUTE($I170,","," ")&amp;" ")),ISNUMBER($L170)),$L170,"")</f>
        <v/>
      </c>
      <c r="AH170" s="16" t="str">
        <f aca="false">IF(AND(ISNUMBER(SEARCH(" RAP "," "&amp;SUBSTITUTE($I170,","," ")&amp;" ")),ISNUMBER($L170)),$L170,"")</f>
        <v/>
      </c>
      <c r="AI170" s="16" t="str">
        <f aca="false">IF(AND(ISNUMBER(SEARCH(" AC "," "&amp;SUBSTITUTE($I170,","," ")&amp;" ")),ISNUMBER($L170)),$L170,"")</f>
        <v/>
      </c>
      <c r="AJ170" s="16" t="str">
        <f aca="false">IF(AND(ISNUMBER(SEARCH(" MAC "," "&amp;SUBSTITUTE($I170,","," ")&amp;" ")),ISNUMBER($L170)),$L170,"")</f>
        <v/>
      </c>
      <c r="AK170" s="16" t="str">
        <f aca="false">IF(AND(ISNUMBER(SEARCH(" UAH "," "&amp;SUBSTITUTE($I170,","," ")&amp;" ")),ISNUMBER($L170)),$L170,"")</f>
        <v/>
      </c>
      <c r="AL170" s="16" t="str">
        <f aca="false">IF(AND(ISNUMBER(SEARCH(" RB "," "&amp;SUBSTITUTE($I170,","," ")&amp;" ")),ISNUMBER($L170)),$L170,"")</f>
        <v/>
      </c>
    </row>
    <row r="171" customFormat="false" ht="15" hidden="false" customHeight="false" outlineLevel="0" collapsed="false">
      <c r="M171" s="13" t="str">
        <f aca="false">IF(ISNUMBER(L171),IF(L171&lt;K171,"Gap","OK"),IF(L171="N/A","N/A",""))</f>
        <v/>
      </c>
      <c r="P171" s="13" t="str">
        <f aca="false">IF(AND(M171="Gap",N171&lt;&gt;"",O171&lt;&gt;""),VLOOKUP(N171&amp;O171,Lists!$H$4:$I$12,2,FALSE()),"")</f>
        <v/>
      </c>
      <c r="Q171" s="13" t="str">
        <f aca="false">IF(AND(M171="Gap",O171="S",OR(N171="H",N171="M")),"Yes","")</f>
        <v/>
      </c>
      <c r="S171" s="14" t="str">
        <f aca="false">IF(A171="","",IFERROR(IF(OR(VLOOKUP(A171,AutoEvidence!$A$2:$G$400,2,FALSE())="Collected",VLOOKUP(A171,AutoEvidence!$A$2:$G$400,2,FALSE())="Partial"),VLOOKUP(A171,AutoEvidence!$A$2:$G$400,3,FALSE())&amp;" ("&amp;VLOOKUP(A171,AutoEvidence!$A$2:$G$400,2,FALSE())&amp;")",VLOOKUP(A171,AutoEvidence!$A$2:$G$400,2,FALSE())),""))</f>
        <v/>
      </c>
      <c r="T171" s="7" t="str">
        <f aca="false">IF(A171="","",IFERROR(VLOOKUP(A171,AutoEvidence!$A$2:$G$400,4,FALSE())&amp;"",""))</f>
        <v/>
      </c>
      <c r="AB171" s="13" t="str">
        <f aca="false">IF(M171="Gap",1,IF(M171="OK",0,""))</f>
        <v/>
      </c>
      <c r="AC171" s="16" t="str">
        <f aca="false">IF(P171&lt;&gt;"",VALUE(RIGHT(P171,1))*1000+ROW(),"")</f>
        <v/>
      </c>
      <c r="AD171" s="16" t="str">
        <f aca="false">IF(ISNUMBER(L171),MIN(L171,K171),"")</f>
        <v/>
      </c>
      <c r="AE171" s="16" t="str">
        <f aca="false">IF(AND(ISNUMBER(SEARCH(" PA "," "&amp;SUBSTITUTE($I171,","," ")&amp;" ")),ISNUMBER($L171)),$L171,"")</f>
        <v/>
      </c>
      <c r="AF171" s="16" t="str">
        <f aca="false">IF(AND(ISNUMBER(SEARCH(" PO "," "&amp;SUBSTITUTE($I171,","," ")&amp;" ")),ISNUMBER($L171)),$L171,"")</f>
        <v/>
      </c>
      <c r="AG171" s="16" t="str">
        <f aca="false">IF(AND(ISNUMBER(SEARCH(" MFA "," "&amp;SUBSTITUTE($I171,","," ")&amp;" ")),ISNUMBER($L171)),$L171,"")</f>
        <v/>
      </c>
      <c r="AH171" s="16" t="str">
        <f aca="false">IF(AND(ISNUMBER(SEARCH(" RAP "," "&amp;SUBSTITUTE($I171,","," ")&amp;" ")),ISNUMBER($L171)),$L171,"")</f>
        <v/>
      </c>
      <c r="AI171" s="16" t="str">
        <f aca="false">IF(AND(ISNUMBER(SEARCH(" AC "," "&amp;SUBSTITUTE($I171,","," ")&amp;" ")),ISNUMBER($L171)),$L171,"")</f>
        <v/>
      </c>
      <c r="AJ171" s="16" t="str">
        <f aca="false">IF(AND(ISNUMBER(SEARCH(" MAC "," "&amp;SUBSTITUTE($I171,","," ")&amp;" ")),ISNUMBER($L171)),$L171,"")</f>
        <v/>
      </c>
      <c r="AK171" s="16" t="str">
        <f aca="false">IF(AND(ISNUMBER(SEARCH(" UAH "," "&amp;SUBSTITUTE($I171,","," ")&amp;" ")),ISNUMBER($L171)),$L171,"")</f>
        <v/>
      </c>
      <c r="AL171" s="16" t="str">
        <f aca="false">IF(AND(ISNUMBER(SEARCH(" RB "," "&amp;SUBSTITUTE($I171,","," ")&amp;" ")),ISNUMBER($L171)),$L171,"")</f>
        <v/>
      </c>
    </row>
    <row r="172" customFormat="false" ht="15" hidden="false" customHeight="false" outlineLevel="0" collapsed="false">
      <c r="M172" s="13" t="str">
        <f aca="false">IF(ISNUMBER(L172),IF(L172&lt;K172,"Gap","OK"),IF(L172="N/A","N/A",""))</f>
        <v/>
      </c>
      <c r="P172" s="13" t="str">
        <f aca="false">IF(AND(M172="Gap",N172&lt;&gt;"",O172&lt;&gt;""),VLOOKUP(N172&amp;O172,Lists!$H$4:$I$12,2,FALSE()),"")</f>
        <v/>
      </c>
      <c r="Q172" s="13" t="str">
        <f aca="false">IF(AND(M172="Gap",O172="S",OR(N172="H",N172="M")),"Yes","")</f>
        <v/>
      </c>
      <c r="S172" s="14" t="str">
        <f aca="false">IF(A172="","",IFERROR(IF(OR(VLOOKUP(A172,AutoEvidence!$A$2:$G$400,2,FALSE())="Collected",VLOOKUP(A172,AutoEvidence!$A$2:$G$400,2,FALSE())="Partial"),VLOOKUP(A172,AutoEvidence!$A$2:$G$400,3,FALSE())&amp;" ("&amp;VLOOKUP(A172,AutoEvidence!$A$2:$G$400,2,FALSE())&amp;")",VLOOKUP(A172,AutoEvidence!$A$2:$G$400,2,FALSE())),""))</f>
        <v/>
      </c>
      <c r="T172" s="7" t="str">
        <f aca="false">IF(A172="","",IFERROR(VLOOKUP(A172,AutoEvidence!$A$2:$G$400,4,FALSE())&amp;"",""))</f>
        <v/>
      </c>
      <c r="AB172" s="13" t="str">
        <f aca="false">IF(M172="Gap",1,IF(M172="OK",0,""))</f>
        <v/>
      </c>
      <c r="AC172" s="16" t="str">
        <f aca="false">IF(P172&lt;&gt;"",VALUE(RIGHT(P172,1))*1000+ROW(),"")</f>
        <v/>
      </c>
      <c r="AD172" s="16" t="str">
        <f aca="false">IF(ISNUMBER(L172),MIN(L172,K172),"")</f>
        <v/>
      </c>
      <c r="AE172" s="16" t="str">
        <f aca="false">IF(AND(ISNUMBER(SEARCH(" PA "," "&amp;SUBSTITUTE($I172,","," ")&amp;" ")),ISNUMBER($L172)),$L172,"")</f>
        <v/>
      </c>
      <c r="AF172" s="16" t="str">
        <f aca="false">IF(AND(ISNUMBER(SEARCH(" PO "," "&amp;SUBSTITUTE($I172,","," ")&amp;" ")),ISNUMBER($L172)),$L172,"")</f>
        <v/>
      </c>
      <c r="AG172" s="16" t="str">
        <f aca="false">IF(AND(ISNUMBER(SEARCH(" MFA "," "&amp;SUBSTITUTE($I172,","," ")&amp;" ")),ISNUMBER($L172)),$L172,"")</f>
        <v/>
      </c>
      <c r="AH172" s="16" t="str">
        <f aca="false">IF(AND(ISNUMBER(SEARCH(" RAP "," "&amp;SUBSTITUTE($I172,","," ")&amp;" ")),ISNUMBER($L172)),$L172,"")</f>
        <v/>
      </c>
      <c r="AI172" s="16" t="str">
        <f aca="false">IF(AND(ISNUMBER(SEARCH(" AC "," "&amp;SUBSTITUTE($I172,","," ")&amp;" ")),ISNUMBER($L172)),$L172,"")</f>
        <v/>
      </c>
      <c r="AJ172" s="16" t="str">
        <f aca="false">IF(AND(ISNUMBER(SEARCH(" MAC "," "&amp;SUBSTITUTE($I172,","," ")&amp;" ")),ISNUMBER($L172)),$L172,"")</f>
        <v/>
      </c>
      <c r="AK172" s="16" t="str">
        <f aca="false">IF(AND(ISNUMBER(SEARCH(" UAH "," "&amp;SUBSTITUTE($I172,","," ")&amp;" ")),ISNUMBER($L172)),$L172,"")</f>
        <v/>
      </c>
      <c r="AL172" s="16" t="str">
        <f aca="false">IF(AND(ISNUMBER(SEARCH(" RB "," "&amp;SUBSTITUTE($I172,","," ")&amp;" ")),ISNUMBER($L172)),$L172,"")</f>
        <v/>
      </c>
    </row>
    <row r="173" customFormat="false" ht="15" hidden="false" customHeight="false" outlineLevel="0" collapsed="false">
      <c r="M173" s="13" t="str">
        <f aca="false">IF(ISNUMBER(L173),IF(L173&lt;K173,"Gap","OK"),IF(L173="N/A","N/A",""))</f>
        <v/>
      </c>
      <c r="P173" s="13" t="str">
        <f aca="false">IF(AND(M173="Gap",N173&lt;&gt;"",O173&lt;&gt;""),VLOOKUP(N173&amp;O173,Lists!$H$4:$I$12,2,FALSE()),"")</f>
        <v/>
      </c>
      <c r="Q173" s="13" t="str">
        <f aca="false">IF(AND(M173="Gap",O173="S",OR(N173="H",N173="M")),"Yes","")</f>
        <v/>
      </c>
      <c r="S173" s="14" t="str">
        <f aca="false">IF(A173="","",IFERROR(IF(OR(VLOOKUP(A173,AutoEvidence!$A$2:$G$400,2,FALSE())="Collected",VLOOKUP(A173,AutoEvidence!$A$2:$G$400,2,FALSE())="Partial"),VLOOKUP(A173,AutoEvidence!$A$2:$G$400,3,FALSE())&amp;" ("&amp;VLOOKUP(A173,AutoEvidence!$A$2:$G$400,2,FALSE())&amp;")",VLOOKUP(A173,AutoEvidence!$A$2:$G$400,2,FALSE())),""))</f>
        <v/>
      </c>
      <c r="T173" s="7" t="str">
        <f aca="false">IF(A173="","",IFERROR(VLOOKUP(A173,AutoEvidence!$A$2:$G$400,4,FALSE())&amp;"",""))</f>
        <v/>
      </c>
      <c r="AB173" s="13" t="str">
        <f aca="false">IF(M173="Gap",1,IF(M173="OK",0,""))</f>
        <v/>
      </c>
      <c r="AC173" s="16" t="str">
        <f aca="false">IF(P173&lt;&gt;"",VALUE(RIGHT(P173,1))*1000+ROW(),"")</f>
        <v/>
      </c>
      <c r="AD173" s="16" t="str">
        <f aca="false">IF(ISNUMBER(L173),MIN(L173,K173),"")</f>
        <v/>
      </c>
      <c r="AE173" s="16" t="str">
        <f aca="false">IF(AND(ISNUMBER(SEARCH(" PA "," "&amp;SUBSTITUTE($I173,","," ")&amp;" ")),ISNUMBER($L173)),$L173,"")</f>
        <v/>
      </c>
      <c r="AF173" s="16" t="str">
        <f aca="false">IF(AND(ISNUMBER(SEARCH(" PO "," "&amp;SUBSTITUTE($I173,","," ")&amp;" ")),ISNUMBER($L173)),$L173,"")</f>
        <v/>
      </c>
      <c r="AG173" s="16" t="str">
        <f aca="false">IF(AND(ISNUMBER(SEARCH(" MFA "," "&amp;SUBSTITUTE($I173,","," ")&amp;" ")),ISNUMBER($L173)),$L173,"")</f>
        <v/>
      </c>
      <c r="AH173" s="16" t="str">
        <f aca="false">IF(AND(ISNUMBER(SEARCH(" RAP "," "&amp;SUBSTITUTE($I173,","," ")&amp;" ")),ISNUMBER($L173)),$L173,"")</f>
        <v/>
      </c>
      <c r="AI173" s="16" t="str">
        <f aca="false">IF(AND(ISNUMBER(SEARCH(" AC "," "&amp;SUBSTITUTE($I173,","," ")&amp;" ")),ISNUMBER($L173)),$L173,"")</f>
        <v/>
      </c>
      <c r="AJ173" s="16" t="str">
        <f aca="false">IF(AND(ISNUMBER(SEARCH(" MAC "," "&amp;SUBSTITUTE($I173,","," ")&amp;" ")),ISNUMBER($L173)),$L173,"")</f>
        <v/>
      </c>
      <c r="AK173" s="16" t="str">
        <f aca="false">IF(AND(ISNUMBER(SEARCH(" UAH "," "&amp;SUBSTITUTE($I173,","," ")&amp;" ")),ISNUMBER($L173)),$L173,"")</f>
        <v/>
      </c>
      <c r="AL173" s="16" t="str">
        <f aca="false">IF(AND(ISNUMBER(SEARCH(" RB "," "&amp;SUBSTITUTE($I173,","," ")&amp;" ")),ISNUMBER($L173)),$L173,"")</f>
        <v/>
      </c>
    </row>
    <row r="174" customFormat="false" ht="15" hidden="false" customHeight="false" outlineLevel="0" collapsed="false">
      <c r="M174" s="13" t="str">
        <f aca="false">IF(ISNUMBER(L174),IF(L174&lt;K174,"Gap","OK"),IF(L174="N/A","N/A",""))</f>
        <v/>
      </c>
      <c r="P174" s="13" t="str">
        <f aca="false">IF(AND(M174="Gap",N174&lt;&gt;"",O174&lt;&gt;""),VLOOKUP(N174&amp;O174,Lists!$H$4:$I$12,2,FALSE()),"")</f>
        <v/>
      </c>
      <c r="Q174" s="13" t="str">
        <f aca="false">IF(AND(M174="Gap",O174="S",OR(N174="H",N174="M")),"Yes","")</f>
        <v/>
      </c>
      <c r="S174" s="14" t="str">
        <f aca="false">IF(A174="","",IFERROR(IF(OR(VLOOKUP(A174,AutoEvidence!$A$2:$G$400,2,FALSE())="Collected",VLOOKUP(A174,AutoEvidence!$A$2:$G$400,2,FALSE())="Partial"),VLOOKUP(A174,AutoEvidence!$A$2:$G$400,3,FALSE())&amp;" ("&amp;VLOOKUP(A174,AutoEvidence!$A$2:$G$400,2,FALSE())&amp;")",VLOOKUP(A174,AutoEvidence!$A$2:$G$400,2,FALSE())),""))</f>
        <v/>
      </c>
      <c r="T174" s="7" t="str">
        <f aca="false">IF(A174="","",IFERROR(VLOOKUP(A174,AutoEvidence!$A$2:$G$400,4,FALSE())&amp;"",""))</f>
        <v/>
      </c>
      <c r="AB174" s="13" t="str">
        <f aca="false">IF(M174="Gap",1,IF(M174="OK",0,""))</f>
        <v/>
      </c>
      <c r="AC174" s="16" t="str">
        <f aca="false">IF(P174&lt;&gt;"",VALUE(RIGHT(P174,1))*1000+ROW(),"")</f>
        <v/>
      </c>
      <c r="AD174" s="16" t="str">
        <f aca="false">IF(ISNUMBER(L174),MIN(L174,K174),"")</f>
        <v/>
      </c>
      <c r="AE174" s="16" t="str">
        <f aca="false">IF(AND(ISNUMBER(SEARCH(" PA "," "&amp;SUBSTITUTE($I174,","," ")&amp;" ")),ISNUMBER($L174)),$L174,"")</f>
        <v/>
      </c>
      <c r="AF174" s="16" t="str">
        <f aca="false">IF(AND(ISNUMBER(SEARCH(" PO "," "&amp;SUBSTITUTE($I174,","," ")&amp;" ")),ISNUMBER($L174)),$L174,"")</f>
        <v/>
      </c>
      <c r="AG174" s="16" t="str">
        <f aca="false">IF(AND(ISNUMBER(SEARCH(" MFA "," "&amp;SUBSTITUTE($I174,","," ")&amp;" ")),ISNUMBER($L174)),$L174,"")</f>
        <v/>
      </c>
      <c r="AH174" s="16" t="str">
        <f aca="false">IF(AND(ISNUMBER(SEARCH(" RAP "," "&amp;SUBSTITUTE($I174,","," ")&amp;" ")),ISNUMBER($L174)),$L174,"")</f>
        <v/>
      </c>
      <c r="AI174" s="16" t="str">
        <f aca="false">IF(AND(ISNUMBER(SEARCH(" AC "," "&amp;SUBSTITUTE($I174,","," ")&amp;" ")),ISNUMBER($L174)),$L174,"")</f>
        <v/>
      </c>
      <c r="AJ174" s="16" t="str">
        <f aca="false">IF(AND(ISNUMBER(SEARCH(" MAC "," "&amp;SUBSTITUTE($I174,","," ")&amp;" ")),ISNUMBER($L174)),$L174,"")</f>
        <v/>
      </c>
      <c r="AK174" s="16" t="str">
        <f aca="false">IF(AND(ISNUMBER(SEARCH(" UAH "," "&amp;SUBSTITUTE($I174,","," ")&amp;" ")),ISNUMBER($L174)),$L174,"")</f>
        <v/>
      </c>
      <c r="AL174" s="16" t="str">
        <f aca="false">IF(AND(ISNUMBER(SEARCH(" RB "," "&amp;SUBSTITUTE($I174,","," ")&amp;" ")),ISNUMBER($L174)),$L174,"")</f>
        <v/>
      </c>
    </row>
    <row r="175" customFormat="false" ht="15" hidden="false" customHeight="false" outlineLevel="0" collapsed="false">
      <c r="M175" s="13" t="str">
        <f aca="false">IF(ISNUMBER(L175),IF(L175&lt;K175,"Gap","OK"),IF(L175="N/A","N/A",""))</f>
        <v/>
      </c>
      <c r="P175" s="13" t="str">
        <f aca="false">IF(AND(M175="Gap",N175&lt;&gt;"",O175&lt;&gt;""),VLOOKUP(N175&amp;O175,Lists!$H$4:$I$12,2,FALSE()),"")</f>
        <v/>
      </c>
      <c r="Q175" s="13" t="str">
        <f aca="false">IF(AND(M175="Gap",O175="S",OR(N175="H",N175="M")),"Yes","")</f>
        <v/>
      </c>
      <c r="S175" s="14" t="str">
        <f aca="false">IF(A175="","",IFERROR(IF(OR(VLOOKUP(A175,AutoEvidence!$A$2:$G$400,2,FALSE())="Collected",VLOOKUP(A175,AutoEvidence!$A$2:$G$400,2,FALSE())="Partial"),VLOOKUP(A175,AutoEvidence!$A$2:$G$400,3,FALSE())&amp;" ("&amp;VLOOKUP(A175,AutoEvidence!$A$2:$G$400,2,FALSE())&amp;")",VLOOKUP(A175,AutoEvidence!$A$2:$G$400,2,FALSE())),""))</f>
        <v/>
      </c>
      <c r="T175" s="7" t="str">
        <f aca="false">IF(A175="","",IFERROR(VLOOKUP(A175,AutoEvidence!$A$2:$G$400,4,FALSE())&amp;"",""))</f>
        <v/>
      </c>
      <c r="AB175" s="13" t="str">
        <f aca="false">IF(M175="Gap",1,IF(M175="OK",0,""))</f>
        <v/>
      </c>
      <c r="AC175" s="16" t="str">
        <f aca="false">IF(P175&lt;&gt;"",VALUE(RIGHT(P175,1))*1000+ROW(),"")</f>
        <v/>
      </c>
      <c r="AD175" s="16" t="str">
        <f aca="false">IF(ISNUMBER(L175),MIN(L175,K175),"")</f>
        <v/>
      </c>
      <c r="AE175" s="16" t="str">
        <f aca="false">IF(AND(ISNUMBER(SEARCH(" PA "," "&amp;SUBSTITUTE($I175,","," ")&amp;" ")),ISNUMBER($L175)),$L175,"")</f>
        <v/>
      </c>
      <c r="AF175" s="16" t="str">
        <f aca="false">IF(AND(ISNUMBER(SEARCH(" PO "," "&amp;SUBSTITUTE($I175,","," ")&amp;" ")),ISNUMBER($L175)),$L175,"")</f>
        <v/>
      </c>
      <c r="AG175" s="16" t="str">
        <f aca="false">IF(AND(ISNUMBER(SEARCH(" MFA "," "&amp;SUBSTITUTE($I175,","," ")&amp;" ")),ISNUMBER($L175)),$L175,"")</f>
        <v/>
      </c>
      <c r="AH175" s="16" t="str">
        <f aca="false">IF(AND(ISNUMBER(SEARCH(" RAP "," "&amp;SUBSTITUTE($I175,","," ")&amp;" ")),ISNUMBER($L175)),$L175,"")</f>
        <v/>
      </c>
      <c r="AI175" s="16" t="str">
        <f aca="false">IF(AND(ISNUMBER(SEARCH(" AC "," "&amp;SUBSTITUTE($I175,","," ")&amp;" ")),ISNUMBER($L175)),$L175,"")</f>
        <v/>
      </c>
      <c r="AJ175" s="16" t="str">
        <f aca="false">IF(AND(ISNUMBER(SEARCH(" MAC "," "&amp;SUBSTITUTE($I175,","," ")&amp;" ")),ISNUMBER($L175)),$L175,"")</f>
        <v/>
      </c>
      <c r="AK175" s="16" t="str">
        <f aca="false">IF(AND(ISNUMBER(SEARCH(" UAH "," "&amp;SUBSTITUTE($I175,","," ")&amp;" ")),ISNUMBER($L175)),$L175,"")</f>
        <v/>
      </c>
      <c r="AL175" s="16" t="str">
        <f aca="false">IF(AND(ISNUMBER(SEARCH(" RB "," "&amp;SUBSTITUTE($I175,","," ")&amp;" ")),ISNUMBER($L175)),$L175,"")</f>
        <v/>
      </c>
    </row>
    <row r="176" customFormat="false" ht="15" hidden="false" customHeight="false" outlineLevel="0" collapsed="false">
      <c r="M176" s="13" t="str">
        <f aca="false">IF(ISNUMBER(L176),IF(L176&lt;K176,"Gap","OK"),IF(L176="N/A","N/A",""))</f>
        <v/>
      </c>
      <c r="P176" s="13" t="str">
        <f aca="false">IF(AND(M176="Gap",N176&lt;&gt;"",O176&lt;&gt;""),VLOOKUP(N176&amp;O176,Lists!$H$4:$I$12,2,FALSE()),"")</f>
        <v/>
      </c>
      <c r="Q176" s="13" t="str">
        <f aca="false">IF(AND(M176="Gap",O176="S",OR(N176="H",N176="M")),"Yes","")</f>
        <v/>
      </c>
      <c r="S176" s="14" t="str">
        <f aca="false">IF(A176="","",IFERROR(IF(OR(VLOOKUP(A176,AutoEvidence!$A$2:$G$400,2,FALSE())="Collected",VLOOKUP(A176,AutoEvidence!$A$2:$G$400,2,FALSE())="Partial"),VLOOKUP(A176,AutoEvidence!$A$2:$G$400,3,FALSE())&amp;" ("&amp;VLOOKUP(A176,AutoEvidence!$A$2:$G$400,2,FALSE())&amp;")",VLOOKUP(A176,AutoEvidence!$A$2:$G$400,2,FALSE())),""))</f>
        <v/>
      </c>
      <c r="T176" s="7" t="str">
        <f aca="false">IF(A176="","",IFERROR(VLOOKUP(A176,AutoEvidence!$A$2:$G$400,4,FALSE())&amp;"",""))</f>
        <v/>
      </c>
      <c r="AB176" s="13" t="str">
        <f aca="false">IF(M176="Gap",1,IF(M176="OK",0,""))</f>
        <v/>
      </c>
      <c r="AC176" s="16" t="str">
        <f aca="false">IF(P176&lt;&gt;"",VALUE(RIGHT(P176,1))*1000+ROW(),"")</f>
        <v/>
      </c>
      <c r="AD176" s="16" t="str">
        <f aca="false">IF(ISNUMBER(L176),MIN(L176,K176),"")</f>
        <v/>
      </c>
      <c r="AE176" s="16" t="str">
        <f aca="false">IF(AND(ISNUMBER(SEARCH(" PA "," "&amp;SUBSTITUTE($I176,","," ")&amp;" ")),ISNUMBER($L176)),$L176,"")</f>
        <v/>
      </c>
      <c r="AF176" s="16" t="str">
        <f aca="false">IF(AND(ISNUMBER(SEARCH(" PO "," "&amp;SUBSTITUTE($I176,","," ")&amp;" ")),ISNUMBER($L176)),$L176,"")</f>
        <v/>
      </c>
      <c r="AG176" s="16" t="str">
        <f aca="false">IF(AND(ISNUMBER(SEARCH(" MFA "," "&amp;SUBSTITUTE($I176,","," ")&amp;" ")),ISNUMBER($L176)),$L176,"")</f>
        <v/>
      </c>
      <c r="AH176" s="16" t="str">
        <f aca="false">IF(AND(ISNUMBER(SEARCH(" RAP "," "&amp;SUBSTITUTE($I176,","," ")&amp;" ")),ISNUMBER($L176)),$L176,"")</f>
        <v/>
      </c>
      <c r="AI176" s="16" t="str">
        <f aca="false">IF(AND(ISNUMBER(SEARCH(" AC "," "&amp;SUBSTITUTE($I176,","," ")&amp;" ")),ISNUMBER($L176)),$L176,"")</f>
        <v/>
      </c>
      <c r="AJ176" s="16" t="str">
        <f aca="false">IF(AND(ISNUMBER(SEARCH(" MAC "," "&amp;SUBSTITUTE($I176,","," ")&amp;" ")),ISNUMBER($L176)),$L176,"")</f>
        <v/>
      </c>
      <c r="AK176" s="16" t="str">
        <f aca="false">IF(AND(ISNUMBER(SEARCH(" UAH "," "&amp;SUBSTITUTE($I176,","," ")&amp;" ")),ISNUMBER($L176)),$L176,"")</f>
        <v/>
      </c>
      <c r="AL176" s="16" t="str">
        <f aca="false">IF(AND(ISNUMBER(SEARCH(" RB "," "&amp;SUBSTITUTE($I176,","," ")&amp;" ")),ISNUMBER($L176)),$L176,"")</f>
        <v/>
      </c>
    </row>
    <row r="177" customFormat="false" ht="15" hidden="false" customHeight="false" outlineLevel="0" collapsed="false">
      <c r="M177" s="13" t="str">
        <f aca="false">IF(ISNUMBER(L177),IF(L177&lt;K177,"Gap","OK"),IF(L177="N/A","N/A",""))</f>
        <v/>
      </c>
      <c r="P177" s="13" t="str">
        <f aca="false">IF(AND(M177="Gap",N177&lt;&gt;"",O177&lt;&gt;""),VLOOKUP(N177&amp;O177,Lists!$H$4:$I$12,2,FALSE()),"")</f>
        <v/>
      </c>
      <c r="Q177" s="13" t="str">
        <f aca="false">IF(AND(M177="Gap",O177="S",OR(N177="H",N177="M")),"Yes","")</f>
        <v/>
      </c>
      <c r="S177" s="14" t="str">
        <f aca="false">IF(A177="","",IFERROR(IF(OR(VLOOKUP(A177,AutoEvidence!$A$2:$G$400,2,FALSE())="Collected",VLOOKUP(A177,AutoEvidence!$A$2:$G$400,2,FALSE())="Partial"),VLOOKUP(A177,AutoEvidence!$A$2:$G$400,3,FALSE())&amp;" ("&amp;VLOOKUP(A177,AutoEvidence!$A$2:$G$400,2,FALSE())&amp;")",VLOOKUP(A177,AutoEvidence!$A$2:$G$400,2,FALSE())),""))</f>
        <v/>
      </c>
      <c r="T177" s="7" t="str">
        <f aca="false">IF(A177="","",IFERROR(VLOOKUP(A177,AutoEvidence!$A$2:$G$400,4,FALSE())&amp;"",""))</f>
        <v/>
      </c>
      <c r="AB177" s="13" t="str">
        <f aca="false">IF(M177="Gap",1,IF(M177="OK",0,""))</f>
        <v/>
      </c>
      <c r="AC177" s="16" t="str">
        <f aca="false">IF(P177&lt;&gt;"",VALUE(RIGHT(P177,1))*1000+ROW(),"")</f>
        <v/>
      </c>
      <c r="AD177" s="16" t="str">
        <f aca="false">IF(ISNUMBER(L177),MIN(L177,K177),"")</f>
        <v/>
      </c>
      <c r="AE177" s="16" t="str">
        <f aca="false">IF(AND(ISNUMBER(SEARCH(" PA "," "&amp;SUBSTITUTE($I177,","," ")&amp;" ")),ISNUMBER($L177)),$L177,"")</f>
        <v/>
      </c>
      <c r="AF177" s="16" t="str">
        <f aca="false">IF(AND(ISNUMBER(SEARCH(" PO "," "&amp;SUBSTITUTE($I177,","," ")&amp;" ")),ISNUMBER($L177)),$L177,"")</f>
        <v/>
      </c>
      <c r="AG177" s="16" t="str">
        <f aca="false">IF(AND(ISNUMBER(SEARCH(" MFA "," "&amp;SUBSTITUTE($I177,","," ")&amp;" ")),ISNUMBER($L177)),$L177,"")</f>
        <v/>
      </c>
      <c r="AH177" s="16" t="str">
        <f aca="false">IF(AND(ISNUMBER(SEARCH(" RAP "," "&amp;SUBSTITUTE($I177,","," ")&amp;" ")),ISNUMBER($L177)),$L177,"")</f>
        <v/>
      </c>
      <c r="AI177" s="16" t="str">
        <f aca="false">IF(AND(ISNUMBER(SEARCH(" AC "," "&amp;SUBSTITUTE($I177,","," ")&amp;" ")),ISNUMBER($L177)),$L177,"")</f>
        <v/>
      </c>
      <c r="AJ177" s="16" t="str">
        <f aca="false">IF(AND(ISNUMBER(SEARCH(" MAC "," "&amp;SUBSTITUTE($I177,","," ")&amp;" ")),ISNUMBER($L177)),$L177,"")</f>
        <v/>
      </c>
      <c r="AK177" s="16" t="str">
        <f aca="false">IF(AND(ISNUMBER(SEARCH(" UAH "," "&amp;SUBSTITUTE($I177,","," ")&amp;" ")),ISNUMBER($L177)),$L177,"")</f>
        <v/>
      </c>
      <c r="AL177" s="16" t="str">
        <f aca="false">IF(AND(ISNUMBER(SEARCH(" RB "," "&amp;SUBSTITUTE($I177,","," ")&amp;" ")),ISNUMBER($L177)),$L177,"")</f>
        <v/>
      </c>
    </row>
    <row r="178" customFormat="false" ht="15" hidden="false" customHeight="false" outlineLevel="0" collapsed="false">
      <c r="M178" s="13" t="str">
        <f aca="false">IF(ISNUMBER(L178),IF(L178&lt;K178,"Gap","OK"),IF(L178="N/A","N/A",""))</f>
        <v/>
      </c>
      <c r="P178" s="13" t="str">
        <f aca="false">IF(AND(M178="Gap",N178&lt;&gt;"",O178&lt;&gt;""),VLOOKUP(N178&amp;O178,Lists!$H$4:$I$12,2,FALSE()),"")</f>
        <v/>
      </c>
      <c r="Q178" s="13" t="str">
        <f aca="false">IF(AND(M178="Gap",O178="S",OR(N178="H",N178="M")),"Yes","")</f>
        <v/>
      </c>
      <c r="S178" s="14" t="str">
        <f aca="false">IF(A178="","",IFERROR(IF(OR(VLOOKUP(A178,AutoEvidence!$A$2:$G$400,2,FALSE())="Collected",VLOOKUP(A178,AutoEvidence!$A$2:$G$400,2,FALSE())="Partial"),VLOOKUP(A178,AutoEvidence!$A$2:$G$400,3,FALSE())&amp;" ("&amp;VLOOKUP(A178,AutoEvidence!$A$2:$G$400,2,FALSE())&amp;")",VLOOKUP(A178,AutoEvidence!$A$2:$G$400,2,FALSE())),""))</f>
        <v/>
      </c>
      <c r="T178" s="7" t="str">
        <f aca="false">IF(A178="","",IFERROR(VLOOKUP(A178,AutoEvidence!$A$2:$G$400,4,FALSE())&amp;"",""))</f>
        <v/>
      </c>
      <c r="AB178" s="13" t="str">
        <f aca="false">IF(M178="Gap",1,IF(M178="OK",0,""))</f>
        <v/>
      </c>
      <c r="AC178" s="16" t="str">
        <f aca="false">IF(P178&lt;&gt;"",VALUE(RIGHT(P178,1))*1000+ROW(),"")</f>
        <v/>
      </c>
      <c r="AD178" s="16" t="str">
        <f aca="false">IF(ISNUMBER(L178),MIN(L178,K178),"")</f>
        <v/>
      </c>
      <c r="AE178" s="16" t="str">
        <f aca="false">IF(AND(ISNUMBER(SEARCH(" PA "," "&amp;SUBSTITUTE($I178,","," ")&amp;" ")),ISNUMBER($L178)),$L178,"")</f>
        <v/>
      </c>
      <c r="AF178" s="16" t="str">
        <f aca="false">IF(AND(ISNUMBER(SEARCH(" PO "," "&amp;SUBSTITUTE($I178,","," ")&amp;" ")),ISNUMBER($L178)),$L178,"")</f>
        <v/>
      </c>
      <c r="AG178" s="16" t="str">
        <f aca="false">IF(AND(ISNUMBER(SEARCH(" MFA "," "&amp;SUBSTITUTE($I178,","," ")&amp;" ")),ISNUMBER($L178)),$L178,"")</f>
        <v/>
      </c>
      <c r="AH178" s="16" t="str">
        <f aca="false">IF(AND(ISNUMBER(SEARCH(" RAP "," "&amp;SUBSTITUTE($I178,","," ")&amp;" ")),ISNUMBER($L178)),$L178,"")</f>
        <v/>
      </c>
      <c r="AI178" s="16" t="str">
        <f aca="false">IF(AND(ISNUMBER(SEARCH(" AC "," "&amp;SUBSTITUTE($I178,","," ")&amp;" ")),ISNUMBER($L178)),$L178,"")</f>
        <v/>
      </c>
      <c r="AJ178" s="16" t="str">
        <f aca="false">IF(AND(ISNUMBER(SEARCH(" MAC "," "&amp;SUBSTITUTE($I178,","," ")&amp;" ")),ISNUMBER($L178)),$L178,"")</f>
        <v/>
      </c>
      <c r="AK178" s="16" t="str">
        <f aca="false">IF(AND(ISNUMBER(SEARCH(" UAH "," "&amp;SUBSTITUTE($I178,","," ")&amp;" ")),ISNUMBER($L178)),$L178,"")</f>
        <v/>
      </c>
      <c r="AL178" s="16" t="str">
        <f aca="false">IF(AND(ISNUMBER(SEARCH(" RB "," "&amp;SUBSTITUTE($I178,","," ")&amp;" ")),ISNUMBER($L178)),$L178,"")</f>
        <v/>
      </c>
    </row>
    <row r="179" customFormat="false" ht="15" hidden="false" customHeight="false" outlineLevel="0" collapsed="false">
      <c r="M179" s="13" t="str">
        <f aca="false">IF(ISNUMBER(L179),IF(L179&lt;K179,"Gap","OK"),IF(L179="N/A","N/A",""))</f>
        <v/>
      </c>
      <c r="P179" s="13" t="str">
        <f aca="false">IF(AND(M179="Gap",N179&lt;&gt;"",O179&lt;&gt;""),VLOOKUP(N179&amp;O179,Lists!$H$4:$I$12,2,FALSE()),"")</f>
        <v/>
      </c>
      <c r="Q179" s="13" t="str">
        <f aca="false">IF(AND(M179="Gap",O179="S",OR(N179="H",N179="M")),"Yes","")</f>
        <v/>
      </c>
      <c r="S179" s="14" t="str">
        <f aca="false">IF(A179="","",IFERROR(IF(OR(VLOOKUP(A179,AutoEvidence!$A$2:$G$400,2,FALSE())="Collected",VLOOKUP(A179,AutoEvidence!$A$2:$G$400,2,FALSE())="Partial"),VLOOKUP(A179,AutoEvidence!$A$2:$G$400,3,FALSE())&amp;" ("&amp;VLOOKUP(A179,AutoEvidence!$A$2:$G$400,2,FALSE())&amp;")",VLOOKUP(A179,AutoEvidence!$A$2:$G$400,2,FALSE())),""))</f>
        <v/>
      </c>
      <c r="T179" s="7" t="str">
        <f aca="false">IF(A179="","",IFERROR(VLOOKUP(A179,AutoEvidence!$A$2:$G$400,4,FALSE())&amp;"",""))</f>
        <v/>
      </c>
      <c r="AB179" s="13" t="str">
        <f aca="false">IF(M179="Gap",1,IF(M179="OK",0,""))</f>
        <v/>
      </c>
      <c r="AC179" s="16" t="str">
        <f aca="false">IF(P179&lt;&gt;"",VALUE(RIGHT(P179,1))*1000+ROW(),"")</f>
        <v/>
      </c>
      <c r="AD179" s="16" t="str">
        <f aca="false">IF(ISNUMBER(L179),MIN(L179,K179),"")</f>
        <v/>
      </c>
      <c r="AE179" s="16" t="str">
        <f aca="false">IF(AND(ISNUMBER(SEARCH(" PA "," "&amp;SUBSTITUTE($I179,","," ")&amp;" ")),ISNUMBER($L179)),$L179,"")</f>
        <v/>
      </c>
      <c r="AF179" s="16" t="str">
        <f aca="false">IF(AND(ISNUMBER(SEARCH(" PO "," "&amp;SUBSTITUTE($I179,","," ")&amp;" ")),ISNUMBER($L179)),$L179,"")</f>
        <v/>
      </c>
      <c r="AG179" s="16" t="str">
        <f aca="false">IF(AND(ISNUMBER(SEARCH(" MFA "," "&amp;SUBSTITUTE($I179,","," ")&amp;" ")),ISNUMBER($L179)),$L179,"")</f>
        <v/>
      </c>
      <c r="AH179" s="16" t="str">
        <f aca="false">IF(AND(ISNUMBER(SEARCH(" RAP "," "&amp;SUBSTITUTE($I179,","," ")&amp;" ")),ISNUMBER($L179)),$L179,"")</f>
        <v/>
      </c>
      <c r="AI179" s="16" t="str">
        <f aca="false">IF(AND(ISNUMBER(SEARCH(" AC "," "&amp;SUBSTITUTE($I179,","," ")&amp;" ")),ISNUMBER($L179)),$L179,"")</f>
        <v/>
      </c>
      <c r="AJ179" s="16" t="str">
        <f aca="false">IF(AND(ISNUMBER(SEARCH(" MAC "," "&amp;SUBSTITUTE($I179,","," ")&amp;" ")),ISNUMBER($L179)),$L179,"")</f>
        <v/>
      </c>
      <c r="AK179" s="16" t="str">
        <f aca="false">IF(AND(ISNUMBER(SEARCH(" UAH "," "&amp;SUBSTITUTE($I179,","," ")&amp;" ")),ISNUMBER($L179)),$L179,"")</f>
        <v/>
      </c>
      <c r="AL179" s="16" t="str">
        <f aca="false">IF(AND(ISNUMBER(SEARCH(" RB "," "&amp;SUBSTITUTE($I179,","," ")&amp;" ")),ISNUMBER($L179)),$L179,"")</f>
        <v/>
      </c>
    </row>
    <row r="180" customFormat="false" ht="15" hidden="false" customHeight="false" outlineLevel="0" collapsed="false">
      <c r="M180" s="13" t="str">
        <f aca="false">IF(ISNUMBER(L180),IF(L180&lt;K180,"Gap","OK"),IF(L180="N/A","N/A",""))</f>
        <v/>
      </c>
      <c r="P180" s="13" t="str">
        <f aca="false">IF(AND(M180="Gap",N180&lt;&gt;"",O180&lt;&gt;""),VLOOKUP(N180&amp;O180,Lists!$H$4:$I$12,2,FALSE()),"")</f>
        <v/>
      </c>
      <c r="Q180" s="13" t="str">
        <f aca="false">IF(AND(M180="Gap",O180="S",OR(N180="H",N180="M")),"Yes","")</f>
        <v/>
      </c>
      <c r="S180" s="14" t="str">
        <f aca="false">IF(A180="","",IFERROR(IF(OR(VLOOKUP(A180,AutoEvidence!$A$2:$G$400,2,FALSE())="Collected",VLOOKUP(A180,AutoEvidence!$A$2:$G$400,2,FALSE())="Partial"),VLOOKUP(A180,AutoEvidence!$A$2:$G$400,3,FALSE())&amp;" ("&amp;VLOOKUP(A180,AutoEvidence!$A$2:$G$400,2,FALSE())&amp;")",VLOOKUP(A180,AutoEvidence!$A$2:$G$400,2,FALSE())),""))</f>
        <v/>
      </c>
      <c r="T180" s="7" t="str">
        <f aca="false">IF(A180="","",IFERROR(VLOOKUP(A180,AutoEvidence!$A$2:$G$400,4,FALSE())&amp;"",""))</f>
        <v/>
      </c>
      <c r="AB180" s="13" t="str">
        <f aca="false">IF(M180="Gap",1,IF(M180="OK",0,""))</f>
        <v/>
      </c>
      <c r="AC180" s="16" t="str">
        <f aca="false">IF(P180&lt;&gt;"",VALUE(RIGHT(P180,1))*1000+ROW(),"")</f>
        <v/>
      </c>
      <c r="AD180" s="16" t="str">
        <f aca="false">IF(ISNUMBER(L180),MIN(L180,K180),"")</f>
        <v/>
      </c>
      <c r="AE180" s="16" t="str">
        <f aca="false">IF(AND(ISNUMBER(SEARCH(" PA "," "&amp;SUBSTITUTE($I180,","," ")&amp;" ")),ISNUMBER($L180)),$L180,"")</f>
        <v/>
      </c>
      <c r="AF180" s="16" t="str">
        <f aca="false">IF(AND(ISNUMBER(SEARCH(" PO "," "&amp;SUBSTITUTE($I180,","," ")&amp;" ")),ISNUMBER($L180)),$L180,"")</f>
        <v/>
      </c>
      <c r="AG180" s="16" t="str">
        <f aca="false">IF(AND(ISNUMBER(SEARCH(" MFA "," "&amp;SUBSTITUTE($I180,","," ")&amp;" ")),ISNUMBER($L180)),$L180,"")</f>
        <v/>
      </c>
      <c r="AH180" s="16" t="str">
        <f aca="false">IF(AND(ISNUMBER(SEARCH(" RAP "," "&amp;SUBSTITUTE($I180,","," ")&amp;" ")),ISNUMBER($L180)),$L180,"")</f>
        <v/>
      </c>
      <c r="AI180" s="16" t="str">
        <f aca="false">IF(AND(ISNUMBER(SEARCH(" AC "," "&amp;SUBSTITUTE($I180,","," ")&amp;" ")),ISNUMBER($L180)),$L180,"")</f>
        <v/>
      </c>
      <c r="AJ180" s="16" t="str">
        <f aca="false">IF(AND(ISNUMBER(SEARCH(" MAC "," "&amp;SUBSTITUTE($I180,","," ")&amp;" ")),ISNUMBER($L180)),$L180,"")</f>
        <v/>
      </c>
      <c r="AK180" s="16" t="str">
        <f aca="false">IF(AND(ISNUMBER(SEARCH(" UAH "," "&amp;SUBSTITUTE($I180,","," ")&amp;" ")),ISNUMBER($L180)),$L180,"")</f>
        <v/>
      </c>
      <c r="AL180" s="16" t="str">
        <f aca="false">IF(AND(ISNUMBER(SEARCH(" RB "," "&amp;SUBSTITUTE($I180,","," ")&amp;" ")),ISNUMBER($L180)),$L180,"")</f>
        <v/>
      </c>
    </row>
    <row r="181" customFormat="false" ht="15" hidden="false" customHeight="false" outlineLevel="0" collapsed="false">
      <c r="M181" s="13" t="str">
        <f aca="false">IF(ISNUMBER(L181),IF(L181&lt;K181,"Gap","OK"),IF(L181="N/A","N/A",""))</f>
        <v/>
      </c>
      <c r="P181" s="13" t="str">
        <f aca="false">IF(AND(M181="Gap",N181&lt;&gt;"",O181&lt;&gt;""),VLOOKUP(N181&amp;O181,Lists!$H$4:$I$12,2,FALSE()),"")</f>
        <v/>
      </c>
      <c r="Q181" s="13" t="str">
        <f aca="false">IF(AND(M181="Gap",O181="S",OR(N181="H",N181="M")),"Yes","")</f>
        <v/>
      </c>
      <c r="S181" s="14" t="str">
        <f aca="false">IF(A181="","",IFERROR(IF(OR(VLOOKUP(A181,AutoEvidence!$A$2:$G$400,2,FALSE())="Collected",VLOOKUP(A181,AutoEvidence!$A$2:$G$400,2,FALSE())="Partial"),VLOOKUP(A181,AutoEvidence!$A$2:$G$400,3,FALSE())&amp;" ("&amp;VLOOKUP(A181,AutoEvidence!$A$2:$G$400,2,FALSE())&amp;")",VLOOKUP(A181,AutoEvidence!$A$2:$G$400,2,FALSE())),""))</f>
        <v/>
      </c>
      <c r="T181" s="7" t="str">
        <f aca="false">IF(A181="","",IFERROR(VLOOKUP(A181,AutoEvidence!$A$2:$G$400,4,FALSE())&amp;"",""))</f>
        <v/>
      </c>
      <c r="AB181" s="13" t="str">
        <f aca="false">IF(M181="Gap",1,IF(M181="OK",0,""))</f>
        <v/>
      </c>
      <c r="AC181" s="16" t="str">
        <f aca="false">IF(P181&lt;&gt;"",VALUE(RIGHT(P181,1))*1000+ROW(),"")</f>
        <v/>
      </c>
      <c r="AD181" s="16" t="str">
        <f aca="false">IF(ISNUMBER(L181),MIN(L181,K181),"")</f>
        <v/>
      </c>
      <c r="AE181" s="16" t="str">
        <f aca="false">IF(AND(ISNUMBER(SEARCH(" PA "," "&amp;SUBSTITUTE($I181,","," ")&amp;" ")),ISNUMBER($L181)),$L181,"")</f>
        <v/>
      </c>
      <c r="AF181" s="16" t="str">
        <f aca="false">IF(AND(ISNUMBER(SEARCH(" PO "," "&amp;SUBSTITUTE($I181,","," ")&amp;" ")),ISNUMBER($L181)),$L181,"")</f>
        <v/>
      </c>
      <c r="AG181" s="16" t="str">
        <f aca="false">IF(AND(ISNUMBER(SEARCH(" MFA "," "&amp;SUBSTITUTE($I181,","," ")&amp;" ")),ISNUMBER($L181)),$L181,"")</f>
        <v/>
      </c>
      <c r="AH181" s="16" t="str">
        <f aca="false">IF(AND(ISNUMBER(SEARCH(" RAP "," "&amp;SUBSTITUTE($I181,","," ")&amp;" ")),ISNUMBER($L181)),$L181,"")</f>
        <v/>
      </c>
      <c r="AI181" s="16" t="str">
        <f aca="false">IF(AND(ISNUMBER(SEARCH(" AC "," "&amp;SUBSTITUTE($I181,","," ")&amp;" ")),ISNUMBER($L181)),$L181,"")</f>
        <v/>
      </c>
      <c r="AJ181" s="16" t="str">
        <f aca="false">IF(AND(ISNUMBER(SEARCH(" MAC "," "&amp;SUBSTITUTE($I181,","," ")&amp;" ")),ISNUMBER($L181)),$L181,"")</f>
        <v/>
      </c>
      <c r="AK181" s="16" t="str">
        <f aca="false">IF(AND(ISNUMBER(SEARCH(" UAH "," "&amp;SUBSTITUTE($I181,","," ")&amp;" ")),ISNUMBER($L181)),$L181,"")</f>
        <v/>
      </c>
      <c r="AL181" s="16" t="str">
        <f aca="false">IF(AND(ISNUMBER(SEARCH(" RB "," "&amp;SUBSTITUTE($I181,","," ")&amp;" ")),ISNUMBER($L181)),$L181,"")</f>
        <v/>
      </c>
    </row>
    <row r="182" customFormat="false" ht="15" hidden="false" customHeight="false" outlineLevel="0" collapsed="false">
      <c r="M182" s="13" t="str">
        <f aca="false">IF(ISNUMBER(L182),IF(L182&lt;K182,"Gap","OK"),IF(L182="N/A","N/A",""))</f>
        <v/>
      </c>
      <c r="P182" s="13" t="str">
        <f aca="false">IF(AND(M182="Gap",N182&lt;&gt;"",O182&lt;&gt;""),VLOOKUP(N182&amp;O182,Lists!$H$4:$I$12,2,FALSE()),"")</f>
        <v/>
      </c>
      <c r="Q182" s="13" t="str">
        <f aca="false">IF(AND(M182="Gap",O182="S",OR(N182="H",N182="M")),"Yes","")</f>
        <v/>
      </c>
      <c r="S182" s="14" t="str">
        <f aca="false">IF(A182="","",IFERROR(IF(OR(VLOOKUP(A182,AutoEvidence!$A$2:$G$400,2,FALSE())="Collected",VLOOKUP(A182,AutoEvidence!$A$2:$G$400,2,FALSE())="Partial"),VLOOKUP(A182,AutoEvidence!$A$2:$G$400,3,FALSE())&amp;" ("&amp;VLOOKUP(A182,AutoEvidence!$A$2:$G$400,2,FALSE())&amp;")",VLOOKUP(A182,AutoEvidence!$A$2:$G$400,2,FALSE())),""))</f>
        <v/>
      </c>
      <c r="T182" s="7" t="str">
        <f aca="false">IF(A182="","",IFERROR(VLOOKUP(A182,AutoEvidence!$A$2:$G$400,4,FALSE())&amp;"",""))</f>
        <v/>
      </c>
      <c r="AB182" s="13" t="str">
        <f aca="false">IF(M182="Gap",1,IF(M182="OK",0,""))</f>
        <v/>
      </c>
      <c r="AC182" s="16" t="str">
        <f aca="false">IF(P182&lt;&gt;"",VALUE(RIGHT(P182,1))*1000+ROW(),"")</f>
        <v/>
      </c>
      <c r="AD182" s="16" t="str">
        <f aca="false">IF(ISNUMBER(L182),MIN(L182,K182),"")</f>
        <v/>
      </c>
      <c r="AE182" s="16" t="str">
        <f aca="false">IF(AND(ISNUMBER(SEARCH(" PA "," "&amp;SUBSTITUTE($I182,","," ")&amp;" ")),ISNUMBER($L182)),$L182,"")</f>
        <v/>
      </c>
      <c r="AF182" s="16" t="str">
        <f aca="false">IF(AND(ISNUMBER(SEARCH(" PO "," "&amp;SUBSTITUTE($I182,","," ")&amp;" ")),ISNUMBER($L182)),$L182,"")</f>
        <v/>
      </c>
      <c r="AG182" s="16" t="str">
        <f aca="false">IF(AND(ISNUMBER(SEARCH(" MFA "," "&amp;SUBSTITUTE($I182,","," ")&amp;" ")),ISNUMBER($L182)),$L182,"")</f>
        <v/>
      </c>
      <c r="AH182" s="16" t="str">
        <f aca="false">IF(AND(ISNUMBER(SEARCH(" RAP "," "&amp;SUBSTITUTE($I182,","," ")&amp;" ")),ISNUMBER($L182)),$L182,"")</f>
        <v/>
      </c>
      <c r="AI182" s="16" t="str">
        <f aca="false">IF(AND(ISNUMBER(SEARCH(" AC "," "&amp;SUBSTITUTE($I182,","," ")&amp;" ")),ISNUMBER($L182)),$L182,"")</f>
        <v/>
      </c>
      <c r="AJ182" s="16" t="str">
        <f aca="false">IF(AND(ISNUMBER(SEARCH(" MAC "," "&amp;SUBSTITUTE($I182,","," ")&amp;" ")),ISNUMBER($L182)),$L182,"")</f>
        <v/>
      </c>
      <c r="AK182" s="16" t="str">
        <f aca="false">IF(AND(ISNUMBER(SEARCH(" UAH "," "&amp;SUBSTITUTE($I182,","," ")&amp;" ")),ISNUMBER($L182)),$L182,"")</f>
        <v/>
      </c>
      <c r="AL182" s="16" t="str">
        <f aca="false">IF(AND(ISNUMBER(SEARCH(" RB "," "&amp;SUBSTITUTE($I182,","," ")&amp;" ")),ISNUMBER($L182)),$L182,"")</f>
        <v/>
      </c>
    </row>
    <row r="183" customFormat="false" ht="15" hidden="false" customHeight="false" outlineLevel="0" collapsed="false">
      <c r="M183" s="13" t="str">
        <f aca="false">IF(ISNUMBER(L183),IF(L183&lt;K183,"Gap","OK"),IF(L183="N/A","N/A",""))</f>
        <v/>
      </c>
      <c r="P183" s="13" t="str">
        <f aca="false">IF(AND(M183="Gap",N183&lt;&gt;"",O183&lt;&gt;""),VLOOKUP(N183&amp;O183,Lists!$H$4:$I$12,2,FALSE()),"")</f>
        <v/>
      </c>
      <c r="Q183" s="13" t="str">
        <f aca="false">IF(AND(M183="Gap",O183="S",OR(N183="H",N183="M")),"Yes","")</f>
        <v/>
      </c>
      <c r="S183" s="14" t="str">
        <f aca="false">IF(A183="","",IFERROR(IF(OR(VLOOKUP(A183,AutoEvidence!$A$2:$G$400,2,FALSE())="Collected",VLOOKUP(A183,AutoEvidence!$A$2:$G$400,2,FALSE())="Partial"),VLOOKUP(A183,AutoEvidence!$A$2:$G$400,3,FALSE())&amp;" ("&amp;VLOOKUP(A183,AutoEvidence!$A$2:$G$400,2,FALSE())&amp;")",VLOOKUP(A183,AutoEvidence!$A$2:$G$400,2,FALSE())),""))</f>
        <v/>
      </c>
      <c r="T183" s="7" t="str">
        <f aca="false">IF(A183="","",IFERROR(VLOOKUP(A183,AutoEvidence!$A$2:$G$400,4,FALSE())&amp;"",""))</f>
        <v/>
      </c>
      <c r="AB183" s="13" t="str">
        <f aca="false">IF(M183="Gap",1,IF(M183="OK",0,""))</f>
        <v/>
      </c>
      <c r="AC183" s="16" t="str">
        <f aca="false">IF(P183&lt;&gt;"",VALUE(RIGHT(P183,1))*1000+ROW(),"")</f>
        <v/>
      </c>
      <c r="AD183" s="16" t="str">
        <f aca="false">IF(ISNUMBER(L183),MIN(L183,K183),"")</f>
        <v/>
      </c>
      <c r="AE183" s="16" t="str">
        <f aca="false">IF(AND(ISNUMBER(SEARCH(" PA "," "&amp;SUBSTITUTE($I183,","," ")&amp;" ")),ISNUMBER($L183)),$L183,"")</f>
        <v/>
      </c>
      <c r="AF183" s="16" t="str">
        <f aca="false">IF(AND(ISNUMBER(SEARCH(" PO "," "&amp;SUBSTITUTE($I183,","," ")&amp;" ")),ISNUMBER($L183)),$L183,"")</f>
        <v/>
      </c>
      <c r="AG183" s="16" t="str">
        <f aca="false">IF(AND(ISNUMBER(SEARCH(" MFA "," "&amp;SUBSTITUTE($I183,","," ")&amp;" ")),ISNUMBER($L183)),$L183,"")</f>
        <v/>
      </c>
      <c r="AH183" s="16" t="str">
        <f aca="false">IF(AND(ISNUMBER(SEARCH(" RAP "," "&amp;SUBSTITUTE($I183,","," ")&amp;" ")),ISNUMBER($L183)),$L183,"")</f>
        <v/>
      </c>
      <c r="AI183" s="16" t="str">
        <f aca="false">IF(AND(ISNUMBER(SEARCH(" AC "," "&amp;SUBSTITUTE($I183,","," ")&amp;" ")),ISNUMBER($L183)),$L183,"")</f>
        <v/>
      </c>
      <c r="AJ183" s="16" t="str">
        <f aca="false">IF(AND(ISNUMBER(SEARCH(" MAC "," "&amp;SUBSTITUTE($I183,","," ")&amp;" ")),ISNUMBER($L183)),$L183,"")</f>
        <v/>
      </c>
      <c r="AK183" s="16" t="str">
        <f aca="false">IF(AND(ISNUMBER(SEARCH(" UAH "," "&amp;SUBSTITUTE($I183,","," ")&amp;" ")),ISNUMBER($L183)),$L183,"")</f>
        <v/>
      </c>
      <c r="AL183" s="16" t="str">
        <f aca="false">IF(AND(ISNUMBER(SEARCH(" RB "," "&amp;SUBSTITUTE($I183,","," ")&amp;" ")),ISNUMBER($L183)),$L183,"")</f>
        <v/>
      </c>
    </row>
    <row r="184" customFormat="false" ht="15" hidden="false" customHeight="false" outlineLevel="0" collapsed="false">
      <c r="M184" s="13" t="str">
        <f aca="false">IF(ISNUMBER(L184),IF(L184&lt;K184,"Gap","OK"),IF(L184="N/A","N/A",""))</f>
        <v/>
      </c>
      <c r="P184" s="13" t="str">
        <f aca="false">IF(AND(M184="Gap",N184&lt;&gt;"",O184&lt;&gt;""),VLOOKUP(N184&amp;O184,Lists!$H$4:$I$12,2,FALSE()),"")</f>
        <v/>
      </c>
      <c r="Q184" s="13" t="str">
        <f aca="false">IF(AND(M184="Gap",O184="S",OR(N184="H",N184="M")),"Yes","")</f>
        <v/>
      </c>
      <c r="S184" s="14" t="str">
        <f aca="false">IF(A184="","",IFERROR(IF(OR(VLOOKUP(A184,AutoEvidence!$A$2:$G$400,2,FALSE())="Collected",VLOOKUP(A184,AutoEvidence!$A$2:$G$400,2,FALSE())="Partial"),VLOOKUP(A184,AutoEvidence!$A$2:$G$400,3,FALSE())&amp;" ("&amp;VLOOKUP(A184,AutoEvidence!$A$2:$G$400,2,FALSE())&amp;")",VLOOKUP(A184,AutoEvidence!$A$2:$G$400,2,FALSE())),""))</f>
        <v/>
      </c>
      <c r="T184" s="7" t="str">
        <f aca="false">IF(A184="","",IFERROR(VLOOKUP(A184,AutoEvidence!$A$2:$G$400,4,FALSE())&amp;"",""))</f>
        <v/>
      </c>
      <c r="AB184" s="13" t="str">
        <f aca="false">IF(M184="Gap",1,IF(M184="OK",0,""))</f>
        <v/>
      </c>
      <c r="AC184" s="16" t="str">
        <f aca="false">IF(P184&lt;&gt;"",VALUE(RIGHT(P184,1))*1000+ROW(),"")</f>
        <v/>
      </c>
      <c r="AD184" s="16" t="str">
        <f aca="false">IF(ISNUMBER(L184),MIN(L184,K184),"")</f>
        <v/>
      </c>
      <c r="AE184" s="16" t="str">
        <f aca="false">IF(AND(ISNUMBER(SEARCH(" PA "," "&amp;SUBSTITUTE($I184,","," ")&amp;" ")),ISNUMBER($L184)),$L184,"")</f>
        <v/>
      </c>
      <c r="AF184" s="16" t="str">
        <f aca="false">IF(AND(ISNUMBER(SEARCH(" PO "," "&amp;SUBSTITUTE($I184,","," ")&amp;" ")),ISNUMBER($L184)),$L184,"")</f>
        <v/>
      </c>
      <c r="AG184" s="16" t="str">
        <f aca="false">IF(AND(ISNUMBER(SEARCH(" MFA "," "&amp;SUBSTITUTE($I184,","," ")&amp;" ")),ISNUMBER($L184)),$L184,"")</f>
        <v/>
      </c>
      <c r="AH184" s="16" t="str">
        <f aca="false">IF(AND(ISNUMBER(SEARCH(" RAP "," "&amp;SUBSTITUTE($I184,","," ")&amp;" ")),ISNUMBER($L184)),$L184,"")</f>
        <v/>
      </c>
      <c r="AI184" s="16" t="str">
        <f aca="false">IF(AND(ISNUMBER(SEARCH(" AC "," "&amp;SUBSTITUTE($I184,","," ")&amp;" ")),ISNUMBER($L184)),$L184,"")</f>
        <v/>
      </c>
      <c r="AJ184" s="16" t="str">
        <f aca="false">IF(AND(ISNUMBER(SEARCH(" MAC "," "&amp;SUBSTITUTE($I184,","," ")&amp;" ")),ISNUMBER($L184)),$L184,"")</f>
        <v/>
      </c>
      <c r="AK184" s="16" t="str">
        <f aca="false">IF(AND(ISNUMBER(SEARCH(" UAH "," "&amp;SUBSTITUTE($I184,","," ")&amp;" ")),ISNUMBER($L184)),$L184,"")</f>
        <v/>
      </c>
      <c r="AL184" s="16" t="str">
        <f aca="false">IF(AND(ISNUMBER(SEARCH(" RB "," "&amp;SUBSTITUTE($I184,","," ")&amp;" ")),ISNUMBER($L184)),$L184,"")</f>
        <v/>
      </c>
    </row>
    <row r="185" customFormat="false" ht="15" hidden="false" customHeight="false" outlineLevel="0" collapsed="false">
      <c r="M185" s="13" t="str">
        <f aca="false">IF(ISNUMBER(L185),IF(L185&lt;K185,"Gap","OK"),IF(L185="N/A","N/A",""))</f>
        <v/>
      </c>
      <c r="P185" s="13" t="str">
        <f aca="false">IF(AND(M185="Gap",N185&lt;&gt;"",O185&lt;&gt;""),VLOOKUP(N185&amp;O185,Lists!$H$4:$I$12,2,FALSE()),"")</f>
        <v/>
      </c>
      <c r="Q185" s="13" t="str">
        <f aca="false">IF(AND(M185="Gap",O185="S",OR(N185="H",N185="M")),"Yes","")</f>
        <v/>
      </c>
      <c r="S185" s="14" t="str">
        <f aca="false">IF(A185="","",IFERROR(IF(OR(VLOOKUP(A185,AutoEvidence!$A$2:$G$400,2,FALSE())="Collected",VLOOKUP(A185,AutoEvidence!$A$2:$G$400,2,FALSE())="Partial"),VLOOKUP(A185,AutoEvidence!$A$2:$G$400,3,FALSE())&amp;" ("&amp;VLOOKUP(A185,AutoEvidence!$A$2:$G$400,2,FALSE())&amp;")",VLOOKUP(A185,AutoEvidence!$A$2:$G$400,2,FALSE())),""))</f>
        <v/>
      </c>
      <c r="T185" s="7" t="str">
        <f aca="false">IF(A185="","",IFERROR(VLOOKUP(A185,AutoEvidence!$A$2:$G$400,4,FALSE())&amp;"",""))</f>
        <v/>
      </c>
      <c r="AB185" s="13" t="str">
        <f aca="false">IF(M185="Gap",1,IF(M185="OK",0,""))</f>
        <v/>
      </c>
      <c r="AC185" s="16" t="str">
        <f aca="false">IF(P185&lt;&gt;"",VALUE(RIGHT(P185,1))*1000+ROW(),"")</f>
        <v/>
      </c>
      <c r="AD185" s="16" t="str">
        <f aca="false">IF(ISNUMBER(L185),MIN(L185,K185),"")</f>
        <v/>
      </c>
      <c r="AE185" s="16" t="str">
        <f aca="false">IF(AND(ISNUMBER(SEARCH(" PA "," "&amp;SUBSTITUTE($I185,","," ")&amp;" ")),ISNUMBER($L185)),$L185,"")</f>
        <v/>
      </c>
      <c r="AF185" s="16" t="str">
        <f aca="false">IF(AND(ISNUMBER(SEARCH(" PO "," "&amp;SUBSTITUTE($I185,","," ")&amp;" ")),ISNUMBER($L185)),$L185,"")</f>
        <v/>
      </c>
      <c r="AG185" s="16" t="str">
        <f aca="false">IF(AND(ISNUMBER(SEARCH(" MFA "," "&amp;SUBSTITUTE($I185,","," ")&amp;" ")),ISNUMBER($L185)),$L185,"")</f>
        <v/>
      </c>
      <c r="AH185" s="16" t="str">
        <f aca="false">IF(AND(ISNUMBER(SEARCH(" RAP "," "&amp;SUBSTITUTE($I185,","," ")&amp;" ")),ISNUMBER($L185)),$L185,"")</f>
        <v/>
      </c>
      <c r="AI185" s="16" t="str">
        <f aca="false">IF(AND(ISNUMBER(SEARCH(" AC "," "&amp;SUBSTITUTE($I185,","," ")&amp;" ")),ISNUMBER($L185)),$L185,"")</f>
        <v/>
      </c>
      <c r="AJ185" s="16" t="str">
        <f aca="false">IF(AND(ISNUMBER(SEARCH(" MAC "," "&amp;SUBSTITUTE($I185,","," ")&amp;" ")),ISNUMBER($L185)),$L185,"")</f>
        <v/>
      </c>
      <c r="AK185" s="16" t="str">
        <f aca="false">IF(AND(ISNUMBER(SEARCH(" UAH "," "&amp;SUBSTITUTE($I185,","," ")&amp;" ")),ISNUMBER($L185)),$L185,"")</f>
        <v/>
      </c>
      <c r="AL185" s="16" t="str">
        <f aca="false">IF(AND(ISNUMBER(SEARCH(" RB "," "&amp;SUBSTITUTE($I185,","," ")&amp;" ")),ISNUMBER($L185)),$L185,"")</f>
        <v/>
      </c>
    </row>
    <row r="186" customFormat="false" ht="15" hidden="false" customHeight="false" outlineLevel="0" collapsed="false">
      <c r="M186" s="13" t="str">
        <f aca="false">IF(ISNUMBER(L186),IF(L186&lt;K186,"Gap","OK"),IF(L186="N/A","N/A",""))</f>
        <v/>
      </c>
      <c r="P186" s="13" t="str">
        <f aca="false">IF(AND(M186="Gap",N186&lt;&gt;"",O186&lt;&gt;""),VLOOKUP(N186&amp;O186,Lists!$H$4:$I$12,2,FALSE()),"")</f>
        <v/>
      </c>
      <c r="Q186" s="13" t="str">
        <f aca="false">IF(AND(M186="Gap",O186="S",OR(N186="H",N186="M")),"Yes","")</f>
        <v/>
      </c>
      <c r="S186" s="14" t="str">
        <f aca="false">IF(A186="","",IFERROR(IF(OR(VLOOKUP(A186,AutoEvidence!$A$2:$G$400,2,FALSE())="Collected",VLOOKUP(A186,AutoEvidence!$A$2:$G$400,2,FALSE())="Partial"),VLOOKUP(A186,AutoEvidence!$A$2:$G$400,3,FALSE())&amp;" ("&amp;VLOOKUP(A186,AutoEvidence!$A$2:$G$400,2,FALSE())&amp;")",VLOOKUP(A186,AutoEvidence!$A$2:$G$400,2,FALSE())),""))</f>
        <v/>
      </c>
      <c r="T186" s="7" t="str">
        <f aca="false">IF(A186="","",IFERROR(VLOOKUP(A186,AutoEvidence!$A$2:$G$400,4,FALSE())&amp;"",""))</f>
        <v/>
      </c>
      <c r="AB186" s="13" t="str">
        <f aca="false">IF(M186="Gap",1,IF(M186="OK",0,""))</f>
        <v/>
      </c>
      <c r="AC186" s="16" t="str">
        <f aca="false">IF(P186&lt;&gt;"",VALUE(RIGHT(P186,1))*1000+ROW(),"")</f>
        <v/>
      </c>
      <c r="AD186" s="16" t="str">
        <f aca="false">IF(ISNUMBER(L186),MIN(L186,K186),"")</f>
        <v/>
      </c>
      <c r="AE186" s="16" t="str">
        <f aca="false">IF(AND(ISNUMBER(SEARCH(" PA "," "&amp;SUBSTITUTE($I186,","," ")&amp;" ")),ISNUMBER($L186)),$L186,"")</f>
        <v/>
      </c>
      <c r="AF186" s="16" t="str">
        <f aca="false">IF(AND(ISNUMBER(SEARCH(" PO "," "&amp;SUBSTITUTE($I186,","," ")&amp;" ")),ISNUMBER($L186)),$L186,"")</f>
        <v/>
      </c>
      <c r="AG186" s="16" t="str">
        <f aca="false">IF(AND(ISNUMBER(SEARCH(" MFA "," "&amp;SUBSTITUTE($I186,","," ")&amp;" ")),ISNUMBER($L186)),$L186,"")</f>
        <v/>
      </c>
      <c r="AH186" s="16" t="str">
        <f aca="false">IF(AND(ISNUMBER(SEARCH(" RAP "," "&amp;SUBSTITUTE($I186,","," ")&amp;" ")),ISNUMBER($L186)),$L186,"")</f>
        <v/>
      </c>
      <c r="AI186" s="16" t="str">
        <f aca="false">IF(AND(ISNUMBER(SEARCH(" AC "," "&amp;SUBSTITUTE($I186,","," ")&amp;" ")),ISNUMBER($L186)),$L186,"")</f>
        <v/>
      </c>
      <c r="AJ186" s="16" t="str">
        <f aca="false">IF(AND(ISNUMBER(SEARCH(" MAC "," "&amp;SUBSTITUTE($I186,","," ")&amp;" ")),ISNUMBER($L186)),$L186,"")</f>
        <v/>
      </c>
      <c r="AK186" s="16" t="str">
        <f aca="false">IF(AND(ISNUMBER(SEARCH(" UAH "," "&amp;SUBSTITUTE($I186,","," ")&amp;" ")),ISNUMBER($L186)),$L186,"")</f>
        <v/>
      </c>
      <c r="AL186" s="16" t="str">
        <f aca="false">IF(AND(ISNUMBER(SEARCH(" RB "," "&amp;SUBSTITUTE($I186,","," ")&amp;" ")),ISNUMBER($L186)),$L186,"")</f>
        <v/>
      </c>
    </row>
    <row r="187" customFormat="false" ht="15" hidden="false" customHeight="false" outlineLevel="0" collapsed="false">
      <c r="M187" s="13" t="str">
        <f aca="false">IF(ISNUMBER(L187),IF(L187&lt;K187,"Gap","OK"),IF(L187="N/A","N/A",""))</f>
        <v/>
      </c>
      <c r="P187" s="13" t="str">
        <f aca="false">IF(AND(M187="Gap",N187&lt;&gt;"",O187&lt;&gt;""),VLOOKUP(N187&amp;O187,Lists!$H$4:$I$12,2,FALSE()),"")</f>
        <v/>
      </c>
      <c r="Q187" s="13" t="str">
        <f aca="false">IF(AND(M187="Gap",O187="S",OR(N187="H",N187="M")),"Yes","")</f>
        <v/>
      </c>
      <c r="S187" s="14" t="str">
        <f aca="false">IF(A187="","",IFERROR(IF(OR(VLOOKUP(A187,AutoEvidence!$A$2:$G$400,2,FALSE())="Collected",VLOOKUP(A187,AutoEvidence!$A$2:$G$400,2,FALSE())="Partial"),VLOOKUP(A187,AutoEvidence!$A$2:$G$400,3,FALSE())&amp;" ("&amp;VLOOKUP(A187,AutoEvidence!$A$2:$G$400,2,FALSE())&amp;")",VLOOKUP(A187,AutoEvidence!$A$2:$G$400,2,FALSE())),""))</f>
        <v/>
      </c>
      <c r="T187" s="7" t="str">
        <f aca="false">IF(A187="","",IFERROR(VLOOKUP(A187,AutoEvidence!$A$2:$G$400,4,FALSE())&amp;"",""))</f>
        <v/>
      </c>
      <c r="AB187" s="13" t="str">
        <f aca="false">IF(M187="Gap",1,IF(M187="OK",0,""))</f>
        <v/>
      </c>
      <c r="AC187" s="16" t="str">
        <f aca="false">IF(P187&lt;&gt;"",VALUE(RIGHT(P187,1))*1000+ROW(),"")</f>
        <v/>
      </c>
      <c r="AD187" s="16" t="str">
        <f aca="false">IF(ISNUMBER(L187),MIN(L187,K187),"")</f>
        <v/>
      </c>
      <c r="AE187" s="16" t="str">
        <f aca="false">IF(AND(ISNUMBER(SEARCH(" PA "," "&amp;SUBSTITUTE($I187,","," ")&amp;" ")),ISNUMBER($L187)),$L187,"")</f>
        <v/>
      </c>
      <c r="AF187" s="16" t="str">
        <f aca="false">IF(AND(ISNUMBER(SEARCH(" PO "," "&amp;SUBSTITUTE($I187,","," ")&amp;" ")),ISNUMBER($L187)),$L187,"")</f>
        <v/>
      </c>
      <c r="AG187" s="16" t="str">
        <f aca="false">IF(AND(ISNUMBER(SEARCH(" MFA "," "&amp;SUBSTITUTE($I187,","," ")&amp;" ")),ISNUMBER($L187)),$L187,"")</f>
        <v/>
      </c>
      <c r="AH187" s="16" t="str">
        <f aca="false">IF(AND(ISNUMBER(SEARCH(" RAP "," "&amp;SUBSTITUTE($I187,","," ")&amp;" ")),ISNUMBER($L187)),$L187,"")</f>
        <v/>
      </c>
      <c r="AI187" s="16" t="str">
        <f aca="false">IF(AND(ISNUMBER(SEARCH(" AC "," "&amp;SUBSTITUTE($I187,","," ")&amp;" ")),ISNUMBER($L187)),$L187,"")</f>
        <v/>
      </c>
      <c r="AJ187" s="16" t="str">
        <f aca="false">IF(AND(ISNUMBER(SEARCH(" MAC "," "&amp;SUBSTITUTE($I187,","," ")&amp;" ")),ISNUMBER($L187)),$L187,"")</f>
        <v/>
      </c>
      <c r="AK187" s="16" t="str">
        <f aca="false">IF(AND(ISNUMBER(SEARCH(" UAH "," "&amp;SUBSTITUTE($I187,","," ")&amp;" ")),ISNUMBER($L187)),$L187,"")</f>
        <v/>
      </c>
      <c r="AL187" s="16" t="str">
        <f aca="false">IF(AND(ISNUMBER(SEARCH(" RB "," "&amp;SUBSTITUTE($I187,","," ")&amp;" ")),ISNUMBER($L187)),$L187,"")</f>
        <v/>
      </c>
    </row>
    <row r="188" customFormat="false" ht="15" hidden="false" customHeight="false" outlineLevel="0" collapsed="false">
      <c r="M188" s="13" t="str">
        <f aca="false">IF(ISNUMBER(L188),IF(L188&lt;K188,"Gap","OK"),IF(L188="N/A","N/A",""))</f>
        <v/>
      </c>
      <c r="P188" s="13" t="str">
        <f aca="false">IF(AND(M188="Gap",N188&lt;&gt;"",O188&lt;&gt;""),VLOOKUP(N188&amp;O188,Lists!$H$4:$I$12,2,FALSE()),"")</f>
        <v/>
      </c>
      <c r="Q188" s="13" t="str">
        <f aca="false">IF(AND(M188="Gap",O188="S",OR(N188="H",N188="M")),"Yes","")</f>
        <v/>
      </c>
      <c r="S188" s="14" t="str">
        <f aca="false">IF(A188="","",IFERROR(IF(OR(VLOOKUP(A188,AutoEvidence!$A$2:$G$400,2,FALSE())="Collected",VLOOKUP(A188,AutoEvidence!$A$2:$G$400,2,FALSE())="Partial"),VLOOKUP(A188,AutoEvidence!$A$2:$G$400,3,FALSE())&amp;" ("&amp;VLOOKUP(A188,AutoEvidence!$A$2:$G$400,2,FALSE())&amp;")",VLOOKUP(A188,AutoEvidence!$A$2:$G$400,2,FALSE())),""))</f>
        <v/>
      </c>
      <c r="T188" s="7" t="str">
        <f aca="false">IF(A188="","",IFERROR(VLOOKUP(A188,AutoEvidence!$A$2:$G$400,4,FALSE())&amp;"",""))</f>
        <v/>
      </c>
      <c r="AB188" s="13" t="str">
        <f aca="false">IF(M188="Gap",1,IF(M188="OK",0,""))</f>
        <v/>
      </c>
      <c r="AC188" s="16" t="str">
        <f aca="false">IF(P188&lt;&gt;"",VALUE(RIGHT(P188,1))*1000+ROW(),"")</f>
        <v/>
      </c>
      <c r="AD188" s="16" t="str">
        <f aca="false">IF(ISNUMBER(L188),MIN(L188,K188),"")</f>
        <v/>
      </c>
      <c r="AE188" s="16" t="str">
        <f aca="false">IF(AND(ISNUMBER(SEARCH(" PA "," "&amp;SUBSTITUTE($I188,","," ")&amp;" ")),ISNUMBER($L188)),$L188,"")</f>
        <v/>
      </c>
      <c r="AF188" s="16" t="str">
        <f aca="false">IF(AND(ISNUMBER(SEARCH(" PO "," "&amp;SUBSTITUTE($I188,","," ")&amp;" ")),ISNUMBER($L188)),$L188,"")</f>
        <v/>
      </c>
      <c r="AG188" s="16" t="str">
        <f aca="false">IF(AND(ISNUMBER(SEARCH(" MFA "," "&amp;SUBSTITUTE($I188,","," ")&amp;" ")),ISNUMBER($L188)),$L188,"")</f>
        <v/>
      </c>
      <c r="AH188" s="16" t="str">
        <f aca="false">IF(AND(ISNUMBER(SEARCH(" RAP "," "&amp;SUBSTITUTE($I188,","," ")&amp;" ")),ISNUMBER($L188)),$L188,"")</f>
        <v/>
      </c>
      <c r="AI188" s="16" t="str">
        <f aca="false">IF(AND(ISNUMBER(SEARCH(" AC "," "&amp;SUBSTITUTE($I188,","," ")&amp;" ")),ISNUMBER($L188)),$L188,"")</f>
        <v/>
      </c>
      <c r="AJ188" s="16" t="str">
        <f aca="false">IF(AND(ISNUMBER(SEARCH(" MAC "," "&amp;SUBSTITUTE($I188,","," ")&amp;" ")),ISNUMBER($L188)),$L188,"")</f>
        <v/>
      </c>
      <c r="AK188" s="16" t="str">
        <f aca="false">IF(AND(ISNUMBER(SEARCH(" UAH "," "&amp;SUBSTITUTE($I188,","," ")&amp;" ")),ISNUMBER($L188)),$L188,"")</f>
        <v/>
      </c>
      <c r="AL188" s="16" t="str">
        <f aca="false">IF(AND(ISNUMBER(SEARCH(" RB "," "&amp;SUBSTITUTE($I188,","," ")&amp;" ")),ISNUMBER($L188)),$L188,"")</f>
        <v/>
      </c>
    </row>
    <row r="189" customFormat="false" ht="15" hidden="false" customHeight="false" outlineLevel="0" collapsed="false">
      <c r="M189" s="13" t="str">
        <f aca="false">IF(ISNUMBER(L189),IF(L189&lt;K189,"Gap","OK"),IF(L189="N/A","N/A",""))</f>
        <v/>
      </c>
      <c r="P189" s="13" t="str">
        <f aca="false">IF(AND(M189="Gap",N189&lt;&gt;"",O189&lt;&gt;""),VLOOKUP(N189&amp;O189,Lists!$H$4:$I$12,2,FALSE()),"")</f>
        <v/>
      </c>
      <c r="Q189" s="13" t="str">
        <f aca="false">IF(AND(M189="Gap",O189="S",OR(N189="H",N189="M")),"Yes","")</f>
        <v/>
      </c>
      <c r="S189" s="14" t="str">
        <f aca="false">IF(A189="","",IFERROR(IF(OR(VLOOKUP(A189,AutoEvidence!$A$2:$G$400,2,FALSE())="Collected",VLOOKUP(A189,AutoEvidence!$A$2:$G$400,2,FALSE())="Partial"),VLOOKUP(A189,AutoEvidence!$A$2:$G$400,3,FALSE())&amp;" ("&amp;VLOOKUP(A189,AutoEvidence!$A$2:$G$400,2,FALSE())&amp;")",VLOOKUP(A189,AutoEvidence!$A$2:$G$400,2,FALSE())),""))</f>
        <v/>
      </c>
      <c r="T189" s="7" t="str">
        <f aca="false">IF(A189="","",IFERROR(VLOOKUP(A189,AutoEvidence!$A$2:$G$400,4,FALSE())&amp;"",""))</f>
        <v/>
      </c>
      <c r="AB189" s="13" t="str">
        <f aca="false">IF(M189="Gap",1,IF(M189="OK",0,""))</f>
        <v/>
      </c>
      <c r="AC189" s="16" t="str">
        <f aca="false">IF(P189&lt;&gt;"",VALUE(RIGHT(P189,1))*1000+ROW(),"")</f>
        <v/>
      </c>
      <c r="AD189" s="16" t="str">
        <f aca="false">IF(ISNUMBER(L189),MIN(L189,K189),"")</f>
        <v/>
      </c>
      <c r="AE189" s="16" t="str">
        <f aca="false">IF(AND(ISNUMBER(SEARCH(" PA "," "&amp;SUBSTITUTE($I189,","," ")&amp;" ")),ISNUMBER($L189)),$L189,"")</f>
        <v/>
      </c>
      <c r="AF189" s="16" t="str">
        <f aca="false">IF(AND(ISNUMBER(SEARCH(" PO "," "&amp;SUBSTITUTE($I189,","," ")&amp;" ")),ISNUMBER($L189)),$L189,"")</f>
        <v/>
      </c>
      <c r="AG189" s="16" t="str">
        <f aca="false">IF(AND(ISNUMBER(SEARCH(" MFA "," "&amp;SUBSTITUTE($I189,","," ")&amp;" ")),ISNUMBER($L189)),$L189,"")</f>
        <v/>
      </c>
      <c r="AH189" s="16" t="str">
        <f aca="false">IF(AND(ISNUMBER(SEARCH(" RAP "," "&amp;SUBSTITUTE($I189,","," ")&amp;" ")),ISNUMBER($L189)),$L189,"")</f>
        <v/>
      </c>
      <c r="AI189" s="16" t="str">
        <f aca="false">IF(AND(ISNUMBER(SEARCH(" AC "," "&amp;SUBSTITUTE($I189,","," ")&amp;" ")),ISNUMBER($L189)),$L189,"")</f>
        <v/>
      </c>
      <c r="AJ189" s="16" t="str">
        <f aca="false">IF(AND(ISNUMBER(SEARCH(" MAC "," "&amp;SUBSTITUTE($I189,","," ")&amp;" ")),ISNUMBER($L189)),$L189,"")</f>
        <v/>
      </c>
      <c r="AK189" s="16" t="str">
        <f aca="false">IF(AND(ISNUMBER(SEARCH(" UAH "," "&amp;SUBSTITUTE($I189,","," ")&amp;" ")),ISNUMBER($L189)),$L189,"")</f>
        <v/>
      </c>
      <c r="AL189" s="16" t="str">
        <f aca="false">IF(AND(ISNUMBER(SEARCH(" RB "," "&amp;SUBSTITUTE($I189,","," ")&amp;" ")),ISNUMBER($L189)),$L189,"")</f>
        <v/>
      </c>
    </row>
    <row r="190" customFormat="false" ht="15" hidden="false" customHeight="false" outlineLevel="0" collapsed="false">
      <c r="M190" s="13" t="str">
        <f aca="false">IF(ISNUMBER(L190),IF(L190&lt;K190,"Gap","OK"),IF(L190="N/A","N/A",""))</f>
        <v/>
      </c>
      <c r="P190" s="13" t="str">
        <f aca="false">IF(AND(M190="Gap",N190&lt;&gt;"",O190&lt;&gt;""),VLOOKUP(N190&amp;O190,Lists!$H$4:$I$12,2,FALSE()),"")</f>
        <v/>
      </c>
      <c r="Q190" s="13" t="str">
        <f aca="false">IF(AND(M190="Gap",O190="S",OR(N190="H",N190="M")),"Yes","")</f>
        <v/>
      </c>
      <c r="S190" s="14" t="str">
        <f aca="false">IF(A190="","",IFERROR(IF(OR(VLOOKUP(A190,AutoEvidence!$A$2:$G$400,2,FALSE())="Collected",VLOOKUP(A190,AutoEvidence!$A$2:$G$400,2,FALSE())="Partial"),VLOOKUP(A190,AutoEvidence!$A$2:$G$400,3,FALSE())&amp;" ("&amp;VLOOKUP(A190,AutoEvidence!$A$2:$G$400,2,FALSE())&amp;")",VLOOKUP(A190,AutoEvidence!$A$2:$G$400,2,FALSE())),""))</f>
        <v/>
      </c>
      <c r="T190" s="7" t="str">
        <f aca="false">IF(A190="","",IFERROR(VLOOKUP(A190,AutoEvidence!$A$2:$G$400,4,FALSE())&amp;"",""))</f>
        <v/>
      </c>
      <c r="AB190" s="13" t="str">
        <f aca="false">IF(M190="Gap",1,IF(M190="OK",0,""))</f>
        <v/>
      </c>
      <c r="AC190" s="16" t="str">
        <f aca="false">IF(P190&lt;&gt;"",VALUE(RIGHT(P190,1))*1000+ROW(),"")</f>
        <v/>
      </c>
      <c r="AD190" s="16" t="str">
        <f aca="false">IF(ISNUMBER(L190),MIN(L190,K190),"")</f>
        <v/>
      </c>
      <c r="AE190" s="16" t="str">
        <f aca="false">IF(AND(ISNUMBER(SEARCH(" PA "," "&amp;SUBSTITUTE($I190,","," ")&amp;" ")),ISNUMBER($L190)),$L190,"")</f>
        <v/>
      </c>
      <c r="AF190" s="16" t="str">
        <f aca="false">IF(AND(ISNUMBER(SEARCH(" PO "," "&amp;SUBSTITUTE($I190,","," ")&amp;" ")),ISNUMBER($L190)),$L190,"")</f>
        <v/>
      </c>
      <c r="AG190" s="16" t="str">
        <f aca="false">IF(AND(ISNUMBER(SEARCH(" MFA "," "&amp;SUBSTITUTE($I190,","," ")&amp;" ")),ISNUMBER($L190)),$L190,"")</f>
        <v/>
      </c>
      <c r="AH190" s="16" t="str">
        <f aca="false">IF(AND(ISNUMBER(SEARCH(" RAP "," "&amp;SUBSTITUTE($I190,","," ")&amp;" ")),ISNUMBER($L190)),$L190,"")</f>
        <v/>
      </c>
      <c r="AI190" s="16" t="str">
        <f aca="false">IF(AND(ISNUMBER(SEARCH(" AC "," "&amp;SUBSTITUTE($I190,","," ")&amp;" ")),ISNUMBER($L190)),$L190,"")</f>
        <v/>
      </c>
      <c r="AJ190" s="16" t="str">
        <f aca="false">IF(AND(ISNUMBER(SEARCH(" MAC "," "&amp;SUBSTITUTE($I190,","," ")&amp;" ")),ISNUMBER($L190)),$L190,"")</f>
        <v/>
      </c>
      <c r="AK190" s="16" t="str">
        <f aca="false">IF(AND(ISNUMBER(SEARCH(" UAH "," "&amp;SUBSTITUTE($I190,","," ")&amp;" ")),ISNUMBER($L190)),$L190,"")</f>
        <v/>
      </c>
      <c r="AL190" s="16" t="str">
        <f aca="false">IF(AND(ISNUMBER(SEARCH(" RB "," "&amp;SUBSTITUTE($I190,","," ")&amp;" ")),ISNUMBER($L190)),$L190,"")</f>
        <v/>
      </c>
    </row>
    <row r="191" customFormat="false" ht="15" hidden="false" customHeight="false" outlineLevel="0" collapsed="false">
      <c r="M191" s="13" t="str">
        <f aca="false">IF(ISNUMBER(L191),IF(L191&lt;K191,"Gap","OK"),IF(L191="N/A","N/A",""))</f>
        <v/>
      </c>
      <c r="P191" s="13" t="str">
        <f aca="false">IF(AND(M191="Gap",N191&lt;&gt;"",O191&lt;&gt;""),VLOOKUP(N191&amp;O191,Lists!$H$4:$I$12,2,FALSE()),"")</f>
        <v/>
      </c>
      <c r="Q191" s="13" t="str">
        <f aca="false">IF(AND(M191="Gap",O191="S",OR(N191="H",N191="M")),"Yes","")</f>
        <v/>
      </c>
      <c r="S191" s="14" t="str">
        <f aca="false">IF(A191="","",IFERROR(IF(OR(VLOOKUP(A191,AutoEvidence!$A$2:$G$400,2,FALSE())="Collected",VLOOKUP(A191,AutoEvidence!$A$2:$G$400,2,FALSE())="Partial"),VLOOKUP(A191,AutoEvidence!$A$2:$G$400,3,FALSE())&amp;" ("&amp;VLOOKUP(A191,AutoEvidence!$A$2:$G$400,2,FALSE())&amp;")",VLOOKUP(A191,AutoEvidence!$A$2:$G$400,2,FALSE())),""))</f>
        <v/>
      </c>
      <c r="T191" s="7" t="str">
        <f aca="false">IF(A191="","",IFERROR(VLOOKUP(A191,AutoEvidence!$A$2:$G$400,4,FALSE())&amp;"",""))</f>
        <v/>
      </c>
      <c r="AB191" s="13" t="str">
        <f aca="false">IF(M191="Gap",1,IF(M191="OK",0,""))</f>
        <v/>
      </c>
      <c r="AC191" s="16" t="str">
        <f aca="false">IF(P191&lt;&gt;"",VALUE(RIGHT(P191,1))*1000+ROW(),"")</f>
        <v/>
      </c>
      <c r="AD191" s="16" t="str">
        <f aca="false">IF(ISNUMBER(L191),MIN(L191,K191),"")</f>
        <v/>
      </c>
      <c r="AE191" s="16" t="str">
        <f aca="false">IF(AND(ISNUMBER(SEARCH(" PA "," "&amp;SUBSTITUTE($I191,","," ")&amp;" ")),ISNUMBER($L191)),$L191,"")</f>
        <v/>
      </c>
      <c r="AF191" s="16" t="str">
        <f aca="false">IF(AND(ISNUMBER(SEARCH(" PO "," "&amp;SUBSTITUTE($I191,","," ")&amp;" ")),ISNUMBER($L191)),$L191,"")</f>
        <v/>
      </c>
      <c r="AG191" s="16" t="str">
        <f aca="false">IF(AND(ISNUMBER(SEARCH(" MFA "," "&amp;SUBSTITUTE($I191,","," ")&amp;" ")),ISNUMBER($L191)),$L191,"")</f>
        <v/>
      </c>
      <c r="AH191" s="16" t="str">
        <f aca="false">IF(AND(ISNUMBER(SEARCH(" RAP "," "&amp;SUBSTITUTE($I191,","," ")&amp;" ")),ISNUMBER($L191)),$L191,"")</f>
        <v/>
      </c>
      <c r="AI191" s="16" t="str">
        <f aca="false">IF(AND(ISNUMBER(SEARCH(" AC "," "&amp;SUBSTITUTE($I191,","," ")&amp;" ")),ISNUMBER($L191)),$L191,"")</f>
        <v/>
      </c>
      <c r="AJ191" s="16" t="str">
        <f aca="false">IF(AND(ISNUMBER(SEARCH(" MAC "," "&amp;SUBSTITUTE($I191,","," ")&amp;" ")),ISNUMBER($L191)),$L191,"")</f>
        <v/>
      </c>
      <c r="AK191" s="16" t="str">
        <f aca="false">IF(AND(ISNUMBER(SEARCH(" UAH "," "&amp;SUBSTITUTE($I191,","," ")&amp;" ")),ISNUMBER($L191)),$L191,"")</f>
        <v/>
      </c>
      <c r="AL191" s="16" t="str">
        <f aca="false">IF(AND(ISNUMBER(SEARCH(" RB "," "&amp;SUBSTITUTE($I191,","," ")&amp;" ")),ISNUMBER($L191)),$L191,"")</f>
        <v/>
      </c>
    </row>
    <row r="192" customFormat="false" ht="15" hidden="false" customHeight="false" outlineLevel="0" collapsed="false">
      <c r="M192" s="13" t="str">
        <f aca="false">IF(ISNUMBER(L192),IF(L192&lt;K192,"Gap","OK"),IF(L192="N/A","N/A",""))</f>
        <v/>
      </c>
      <c r="P192" s="13" t="str">
        <f aca="false">IF(AND(M192="Gap",N192&lt;&gt;"",O192&lt;&gt;""),VLOOKUP(N192&amp;O192,Lists!$H$4:$I$12,2,FALSE()),"")</f>
        <v/>
      </c>
      <c r="Q192" s="13" t="str">
        <f aca="false">IF(AND(M192="Gap",O192="S",OR(N192="H",N192="M")),"Yes","")</f>
        <v/>
      </c>
      <c r="S192" s="14" t="str">
        <f aca="false">IF(A192="","",IFERROR(IF(OR(VLOOKUP(A192,AutoEvidence!$A$2:$G$400,2,FALSE())="Collected",VLOOKUP(A192,AutoEvidence!$A$2:$G$400,2,FALSE())="Partial"),VLOOKUP(A192,AutoEvidence!$A$2:$G$400,3,FALSE())&amp;" ("&amp;VLOOKUP(A192,AutoEvidence!$A$2:$G$400,2,FALSE())&amp;")",VLOOKUP(A192,AutoEvidence!$A$2:$G$400,2,FALSE())),""))</f>
        <v/>
      </c>
      <c r="T192" s="7" t="str">
        <f aca="false">IF(A192="","",IFERROR(VLOOKUP(A192,AutoEvidence!$A$2:$G$400,4,FALSE())&amp;"",""))</f>
        <v/>
      </c>
      <c r="AB192" s="13" t="str">
        <f aca="false">IF(M192="Gap",1,IF(M192="OK",0,""))</f>
        <v/>
      </c>
      <c r="AC192" s="16" t="str">
        <f aca="false">IF(P192&lt;&gt;"",VALUE(RIGHT(P192,1))*1000+ROW(),"")</f>
        <v/>
      </c>
      <c r="AD192" s="16" t="str">
        <f aca="false">IF(ISNUMBER(L192),MIN(L192,K192),"")</f>
        <v/>
      </c>
      <c r="AE192" s="16" t="str">
        <f aca="false">IF(AND(ISNUMBER(SEARCH(" PA "," "&amp;SUBSTITUTE($I192,","," ")&amp;" ")),ISNUMBER($L192)),$L192,"")</f>
        <v/>
      </c>
      <c r="AF192" s="16" t="str">
        <f aca="false">IF(AND(ISNUMBER(SEARCH(" PO "," "&amp;SUBSTITUTE($I192,","," ")&amp;" ")),ISNUMBER($L192)),$L192,"")</f>
        <v/>
      </c>
      <c r="AG192" s="16" t="str">
        <f aca="false">IF(AND(ISNUMBER(SEARCH(" MFA "," "&amp;SUBSTITUTE($I192,","," ")&amp;" ")),ISNUMBER($L192)),$L192,"")</f>
        <v/>
      </c>
      <c r="AH192" s="16" t="str">
        <f aca="false">IF(AND(ISNUMBER(SEARCH(" RAP "," "&amp;SUBSTITUTE($I192,","," ")&amp;" ")),ISNUMBER($L192)),$L192,"")</f>
        <v/>
      </c>
      <c r="AI192" s="16" t="str">
        <f aca="false">IF(AND(ISNUMBER(SEARCH(" AC "," "&amp;SUBSTITUTE($I192,","," ")&amp;" ")),ISNUMBER($L192)),$L192,"")</f>
        <v/>
      </c>
      <c r="AJ192" s="16" t="str">
        <f aca="false">IF(AND(ISNUMBER(SEARCH(" MAC "," "&amp;SUBSTITUTE($I192,","," ")&amp;" ")),ISNUMBER($L192)),$L192,"")</f>
        <v/>
      </c>
      <c r="AK192" s="16" t="str">
        <f aca="false">IF(AND(ISNUMBER(SEARCH(" UAH "," "&amp;SUBSTITUTE($I192,","," ")&amp;" ")),ISNUMBER($L192)),$L192,"")</f>
        <v/>
      </c>
      <c r="AL192" s="16" t="str">
        <f aca="false">IF(AND(ISNUMBER(SEARCH(" RB "," "&amp;SUBSTITUTE($I192,","," ")&amp;" ")),ISNUMBER($L192)),$L192,"")</f>
        <v/>
      </c>
    </row>
    <row r="193" customFormat="false" ht="15" hidden="false" customHeight="false" outlineLevel="0" collapsed="false">
      <c r="M193" s="13" t="str">
        <f aca="false">IF(ISNUMBER(L193),IF(L193&lt;K193,"Gap","OK"),IF(L193="N/A","N/A",""))</f>
        <v/>
      </c>
      <c r="P193" s="13" t="str">
        <f aca="false">IF(AND(M193="Gap",N193&lt;&gt;"",O193&lt;&gt;""),VLOOKUP(N193&amp;O193,Lists!$H$4:$I$12,2,FALSE()),"")</f>
        <v/>
      </c>
      <c r="Q193" s="13" t="str">
        <f aca="false">IF(AND(M193="Gap",O193="S",OR(N193="H",N193="M")),"Yes","")</f>
        <v/>
      </c>
      <c r="S193" s="14" t="str">
        <f aca="false">IF(A193="","",IFERROR(IF(OR(VLOOKUP(A193,AutoEvidence!$A$2:$G$400,2,FALSE())="Collected",VLOOKUP(A193,AutoEvidence!$A$2:$G$400,2,FALSE())="Partial"),VLOOKUP(A193,AutoEvidence!$A$2:$G$400,3,FALSE())&amp;" ("&amp;VLOOKUP(A193,AutoEvidence!$A$2:$G$400,2,FALSE())&amp;")",VLOOKUP(A193,AutoEvidence!$A$2:$G$400,2,FALSE())),""))</f>
        <v/>
      </c>
      <c r="T193" s="7" t="str">
        <f aca="false">IF(A193="","",IFERROR(VLOOKUP(A193,AutoEvidence!$A$2:$G$400,4,FALSE())&amp;"",""))</f>
        <v/>
      </c>
      <c r="AB193" s="13" t="str">
        <f aca="false">IF(M193="Gap",1,IF(M193="OK",0,""))</f>
        <v/>
      </c>
      <c r="AC193" s="16" t="str">
        <f aca="false">IF(P193&lt;&gt;"",VALUE(RIGHT(P193,1))*1000+ROW(),"")</f>
        <v/>
      </c>
      <c r="AD193" s="16" t="str">
        <f aca="false">IF(ISNUMBER(L193),MIN(L193,K193),"")</f>
        <v/>
      </c>
      <c r="AE193" s="16" t="str">
        <f aca="false">IF(AND(ISNUMBER(SEARCH(" PA "," "&amp;SUBSTITUTE($I193,","," ")&amp;" ")),ISNUMBER($L193)),$L193,"")</f>
        <v/>
      </c>
      <c r="AF193" s="16" t="str">
        <f aca="false">IF(AND(ISNUMBER(SEARCH(" PO "," "&amp;SUBSTITUTE($I193,","," ")&amp;" ")),ISNUMBER($L193)),$L193,"")</f>
        <v/>
      </c>
      <c r="AG193" s="16" t="str">
        <f aca="false">IF(AND(ISNUMBER(SEARCH(" MFA "," "&amp;SUBSTITUTE($I193,","," ")&amp;" ")),ISNUMBER($L193)),$L193,"")</f>
        <v/>
      </c>
      <c r="AH193" s="16" t="str">
        <f aca="false">IF(AND(ISNUMBER(SEARCH(" RAP "," "&amp;SUBSTITUTE($I193,","," ")&amp;" ")),ISNUMBER($L193)),$L193,"")</f>
        <v/>
      </c>
      <c r="AI193" s="16" t="str">
        <f aca="false">IF(AND(ISNUMBER(SEARCH(" AC "," "&amp;SUBSTITUTE($I193,","," ")&amp;" ")),ISNUMBER($L193)),$L193,"")</f>
        <v/>
      </c>
      <c r="AJ193" s="16" t="str">
        <f aca="false">IF(AND(ISNUMBER(SEARCH(" MAC "," "&amp;SUBSTITUTE($I193,","," ")&amp;" ")),ISNUMBER($L193)),$L193,"")</f>
        <v/>
      </c>
      <c r="AK193" s="16" t="str">
        <f aca="false">IF(AND(ISNUMBER(SEARCH(" UAH "," "&amp;SUBSTITUTE($I193,","," ")&amp;" ")),ISNUMBER($L193)),$L193,"")</f>
        <v/>
      </c>
      <c r="AL193" s="16" t="str">
        <f aca="false">IF(AND(ISNUMBER(SEARCH(" RB "," "&amp;SUBSTITUTE($I193,","," ")&amp;" ")),ISNUMBER($L193)),$L193,"")</f>
        <v/>
      </c>
    </row>
    <row r="194" customFormat="false" ht="15" hidden="false" customHeight="false" outlineLevel="0" collapsed="false">
      <c r="M194" s="13" t="str">
        <f aca="false">IF(ISNUMBER(L194),IF(L194&lt;K194,"Gap","OK"),IF(L194="N/A","N/A",""))</f>
        <v/>
      </c>
      <c r="P194" s="13" t="str">
        <f aca="false">IF(AND(M194="Gap",N194&lt;&gt;"",O194&lt;&gt;""),VLOOKUP(N194&amp;O194,Lists!$H$4:$I$12,2,FALSE()),"")</f>
        <v/>
      </c>
      <c r="Q194" s="13" t="str">
        <f aca="false">IF(AND(M194="Gap",O194="S",OR(N194="H",N194="M")),"Yes","")</f>
        <v/>
      </c>
      <c r="S194" s="14" t="str">
        <f aca="false">IF(A194="","",IFERROR(IF(OR(VLOOKUP(A194,AutoEvidence!$A$2:$G$400,2,FALSE())="Collected",VLOOKUP(A194,AutoEvidence!$A$2:$G$400,2,FALSE())="Partial"),VLOOKUP(A194,AutoEvidence!$A$2:$G$400,3,FALSE())&amp;" ("&amp;VLOOKUP(A194,AutoEvidence!$A$2:$G$400,2,FALSE())&amp;")",VLOOKUP(A194,AutoEvidence!$A$2:$G$400,2,FALSE())),""))</f>
        <v/>
      </c>
      <c r="T194" s="7" t="str">
        <f aca="false">IF(A194="","",IFERROR(VLOOKUP(A194,AutoEvidence!$A$2:$G$400,4,FALSE())&amp;"",""))</f>
        <v/>
      </c>
      <c r="AB194" s="13" t="str">
        <f aca="false">IF(M194="Gap",1,IF(M194="OK",0,""))</f>
        <v/>
      </c>
      <c r="AC194" s="16" t="str">
        <f aca="false">IF(P194&lt;&gt;"",VALUE(RIGHT(P194,1))*1000+ROW(),"")</f>
        <v/>
      </c>
      <c r="AD194" s="16" t="str">
        <f aca="false">IF(ISNUMBER(L194),MIN(L194,K194),"")</f>
        <v/>
      </c>
      <c r="AE194" s="16" t="str">
        <f aca="false">IF(AND(ISNUMBER(SEARCH(" PA "," "&amp;SUBSTITUTE($I194,","," ")&amp;" ")),ISNUMBER($L194)),$L194,"")</f>
        <v/>
      </c>
      <c r="AF194" s="16" t="str">
        <f aca="false">IF(AND(ISNUMBER(SEARCH(" PO "," "&amp;SUBSTITUTE($I194,","," ")&amp;" ")),ISNUMBER($L194)),$L194,"")</f>
        <v/>
      </c>
      <c r="AG194" s="16" t="str">
        <f aca="false">IF(AND(ISNUMBER(SEARCH(" MFA "," "&amp;SUBSTITUTE($I194,","," ")&amp;" ")),ISNUMBER($L194)),$L194,"")</f>
        <v/>
      </c>
      <c r="AH194" s="16" t="str">
        <f aca="false">IF(AND(ISNUMBER(SEARCH(" RAP "," "&amp;SUBSTITUTE($I194,","," ")&amp;" ")),ISNUMBER($L194)),$L194,"")</f>
        <v/>
      </c>
      <c r="AI194" s="16" t="str">
        <f aca="false">IF(AND(ISNUMBER(SEARCH(" AC "," "&amp;SUBSTITUTE($I194,","," ")&amp;" ")),ISNUMBER($L194)),$L194,"")</f>
        <v/>
      </c>
      <c r="AJ194" s="16" t="str">
        <f aca="false">IF(AND(ISNUMBER(SEARCH(" MAC "," "&amp;SUBSTITUTE($I194,","," ")&amp;" ")),ISNUMBER($L194)),$L194,"")</f>
        <v/>
      </c>
      <c r="AK194" s="16" t="str">
        <f aca="false">IF(AND(ISNUMBER(SEARCH(" UAH "," "&amp;SUBSTITUTE($I194,","," ")&amp;" ")),ISNUMBER($L194)),$L194,"")</f>
        <v/>
      </c>
      <c r="AL194" s="16" t="str">
        <f aca="false">IF(AND(ISNUMBER(SEARCH(" RB "," "&amp;SUBSTITUTE($I194,","," ")&amp;" ")),ISNUMBER($L194)),$L194,"")</f>
        <v/>
      </c>
    </row>
    <row r="195" customFormat="false" ht="15" hidden="false" customHeight="false" outlineLevel="0" collapsed="false">
      <c r="M195" s="13" t="str">
        <f aca="false">IF(ISNUMBER(L195),IF(L195&lt;K195,"Gap","OK"),IF(L195="N/A","N/A",""))</f>
        <v/>
      </c>
      <c r="P195" s="13" t="str">
        <f aca="false">IF(AND(M195="Gap",N195&lt;&gt;"",O195&lt;&gt;""),VLOOKUP(N195&amp;O195,Lists!$H$4:$I$12,2,FALSE()),"")</f>
        <v/>
      </c>
      <c r="Q195" s="13" t="str">
        <f aca="false">IF(AND(M195="Gap",O195="S",OR(N195="H",N195="M")),"Yes","")</f>
        <v/>
      </c>
      <c r="S195" s="14" t="str">
        <f aca="false">IF(A195="","",IFERROR(IF(OR(VLOOKUP(A195,AutoEvidence!$A$2:$G$400,2,FALSE())="Collected",VLOOKUP(A195,AutoEvidence!$A$2:$G$400,2,FALSE())="Partial"),VLOOKUP(A195,AutoEvidence!$A$2:$G$400,3,FALSE())&amp;" ("&amp;VLOOKUP(A195,AutoEvidence!$A$2:$G$400,2,FALSE())&amp;")",VLOOKUP(A195,AutoEvidence!$A$2:$G$400,2,FALSE())),""))</f>
        <v/>
      </c>
      <c r="T195" s="7" t="str">
        <f aca="false">IF(A195="","",IFERROR(VLOOKUP(A195,AutoEvidence!$A$2:$G$400,4,FALSE())&amp;"",""))</f>
        <v/>
      </c>
      <c r="AB195" s="13" t="str">
        <f aca="false">IF(M195="Gap",1,IF(M195="OK",0,""))</f>
        <v/>
      </c>
      <c r="AC195" s="16" t="str">
        <f aca="false">IF(P195&lt;&gt;"",VALUE(RIGHT(P195,1))*1000+ROW(),"")</f>
        <v/>
      </c>
      <c r="AD195" s="16" t="str">
        <f aca="false">IF(ISNUMBER(L195),MIN(L195,K195),"")</f>
        <v/>
      </c>
      <c r="AE195" s="16" t="str">
        <f aca="false">IF(AND(ISNUMBER(SEARCH(" PA "," "&amp;SUBSTITUTE($I195,","," ")&amp;" ")),ISNUMBER($L195)),$L195,"")</f>
        <v/>
      </c>
      <c r="AF195" s="16" t="str">
        <f aca="false">IF(AND(ISNUMBER(SEARCH(" PO "," "&amp;SUBSTITUTE($I195,","," ")&amp;" ")),ISNUMBER($L195)),$L195,"")</f>
        <v/>
      </c>
      <c r="AG195" s="16" t="str">
        <f aca="false">IF(AND(ISNUMBER(SEARCH(" MFA "," "&amp;SUBSTITUTE($I195,","," ")&amp;" ")),ISNUMBER($L195)),$L195,"")</f>
        <v/>
      </c>
      <c r="AH195" s="16" t="str">
        <f aca="false">IF(AND(ISNUMBER(SEARCH(" RAP "," "&amp;SUBSTITUTE($I195,","," ")&amp;" ")),ISNUMBER($L195)),$L195,"")</f>
        <v/>
      </c>
      <c r="AI195" s="16" t="str">
        <f aca="false">IF(AND(ISNUMBER(SEARCH(" AC "," "&amp;SUBSTITUTE($I195,","," ")&amp;" ")),ISNUMBER($L195)),$L195,"")</f>
        <v/>
      </c>
      <c r="AJ195" s="16" t="str">
        <f aca="false">IF(AND(ISNUMBER(SEARCH(" MAC "," "&amp;SUBSTITUTE($I195,","," ")&amp;" ")),ISNUMBER($L195)),$L195,"")</f>
        <v/>
      </c>
      <c r="AK195" s="16" t="str">
        <f aca="false">IF(AND(ISNUMBER(SEARCH(" UAH "," "&amp;SUBSTITUTE($I195,","," ")&amp;" ")),ISNUMBER($L195)),$L195,"")</f>
        <v/>
      </c>
      <c r="AL195" s="16" t="str">
        <f aca="false">IF(AND(ISNUMBER(SEARCH(" RB "," "&amp;SUBSTITUTE($I195,","," ")&amp;" ")),ISNUMBER($L195)),$L195,"")</f>
        <v/>
      </c>
    </row>
    <row r="196" customFormat="false" ht="15" hidden="false" customHeight="false" outlineLevel="0" collapsed="false">
      <c r="M196" s="13" t="str">
        <f aca="false">IF(ISNUMBER(L196),IF(L196&lt;K196,"Gap","OK"),IF(L196="N/A","N/A",""))</f>
        <v/>
      </c>
      <c r="P196" s="13" t="str">
        <f aca="false">IF(AND(M196="Gap",N196&lt;&gt;"",O196&lt;&gt;""),VLOOKUP(N196&amp;O196,Lists!$H$4:$I$12,2,FALSE()),"")</f>
        <v/>
      </c>
      <c r="Q196" s="13" t="str">
        <f aca="false">IF(AND(M196="Gap",O196="S",OR(N196="H",N196="M")),"Yes","")</f>
        <v/>
      </c>
      <c r="S196" s="14" t="str">
        <f aca="false">IF(A196="","",IFERROR(IF(OR(VLOOKUP(A196,AutoEvidence!$A$2:$G$400,2,FALSE())="Collected",VLOOKUP(A196,AutoEvidence!$A$2:$G$400,2,FALSE())="Partial"),VLOOKUP(A196,AutoEvidence!$A$2:$G$400,3,FALSE())&amp;" ("&amp;VLOOKUP(A196,AutoEvidence!$A$2:$G$400,2,FALSE())&amp;")",VLOOKUP(A196,AutoEvidence!$A$2:$G$400,2,FALSE())),""))</f>
        <v/>
      </c>
      <c r="T196" s="7" t="str">
        <f aca="false">IF(A196="","",IFERROR(VLOOKUP(A196,AutoEvidence!$A$2:$G$400,4,FALSE())&amp;"",""))</f>
        <v/>
      </c>
      <c r="AB196" s="13" t="str">
        <f aca="false">IF(M196="Gap",1,IF(M196="OK",0,""))</f>
        <v/>
      </c>
      <c r="AC196" s="16" t="str">
        <f aca="false">IF(P196&lt;&gt;"",VALUE(RIGHT(P196,1))*1000+ROW(),"")</f>
        <v/>
      </c>
      <c r="AD196" s="16" t="str">
        <f aca="false">IF(ISNUMBER(L196),MIN(L196,K196),"")</f>
        <v/>
      </c>
      <c r="AE196" s="16" t="str">
        <f aca="false">IF(AND(ISNUMBER(SEARCH(" PA "," "&amp;SUBSTITUTE($I196,","," ")&amp;" ")),ISNUMBER($L196)),$L196,"")</f>
        <v/>
      </c>
      <c r="AF196" s="16" t="str">
        <f aca="false">IF(AND(ISNUMBER(SEARCH(" PO "," "&amp;SUBSTITUTE($I196,","," ")&amp;" ")),ISNUMBER($L196)),$L196,"")</f>
        <v/>
      </c>
      <c r="AG196" s="16" t="str">
        <f aca="false">IF(AND(ISNUMBER(SEARCH(" MFA "," "&amp;SUBSTITUTE($I196,","," ")&amp;" ")),ISNUMBER($L196)),$L196,"")</f>
        <v/>
      </c>
      <c r="AH196" s="16" t="str">
        <f aca="false">IF(AND(ISNUMBER(SEARCH(" RAP "," "&amp;SUBSTITUTE($I196,","," ")&amp;" ")),ISNUMBER($L196)),$L196,"")</f>
        <v/>
      </c>
      <c r="AI196" s="16" t="str">
        <f aca="false">IF(AND(ISNUMBER(SEARCH(" AC "," "&amp;SUBSTITUTE($I196,","," ")&amp;" ")),ISNUMBER($L196)),$L196,"")</f>
        <v/>
      </c>
      <c r="AJ196" s="16" t="str">
        <f aca="false">IF(AND(ISNUMBER(SEARCH(" MAC "," "&amp;SUBSTITUTE($I196,","," ")&amp;" ")),ISNUMBER($L196)),$L196,"")</f>
        <v/>
      </c>
      <c r="AK196" s="16" t="str">
        <f aca="false">IF(AND(ISNUMBER(SEARCH(" UAH "," "&amp;SUBSTITUTE($I196,","," ")&amp;" ")),ISNUMBER($L196)),$L196,"")</f>
        <v/>
      </c>
      <c r="AL196" s="16" t="str">
        <f aca="false">IF(AND(ISNUMBER(SEARCH(" RB "," "&amp;SUBSTITUTE($I196,","," ")&amp;" ")),ISNUMBER($L196)),$L196,"")</f>
        <v/>
      </c>
    </row>
    <row r="197" customFormat="false" ht="15" hidden="false" customHeight="false" outlineLevel="0" collapsed="false">
      <c r="M197" s="13" t="str">
        <f aca="false">IF(ISNUMBER(L197),IF(L197&lt;K197,"Gap","OK"),IF(L197="N/A","N/A",""))</f>
        <v/>
      </c>
      <c r="P197" s="13" t="str">
        <f aca="false">IF(AND(M197="Gap",N197&lt;&gt;"",O197&lt;&gt;""),VLOOKUP(N197&amp;O197,Lists!$H$4:$I$12,2,FALSE()),"")</f>
        <v/>
      </c>
      <c r="Q197" s="13" t="str">
        <f aca="false">IF(AND(M197="Gap",O197="S",OR(N197="H",N197="M")),"Yes","")</f>
        <v/>
      </c>
      <c r="S197" s="14" t="str">
        <f aca="false">IF(A197="","",IFERROR(IF(OR(VLOOKUP(A197,AutoEvidence!$A$2:$G$400,2,FALSE())="Collected",VLOOKUP(A197,AutoEvidence!$A$2:$G$400,2,FALSE())="Partial"),VLOOKUP(A197,AutoEvidence!$A$2:$G$400,3,FALSE())&amp;" ("&amp;VLOOKUP(A197,AutoEvidence!$A$2:$G$400,2,FALSE())&amp;")",VLOOKUP(A197,AutoEvidence!$A$2:$G$400,2,FALSE())),""))</f>
        <v/>
      </c>
      <c r="T197" s="7" t="str">
        <f aca="false">IF(A197="","",IFERROR(VLOOKUP(A197,AutoEvidence!$A$2:$G$400,4,FALSE())&amp;"",""))</f>
        <v/>
      </c>
      <c r="AB197" s="13" t="str">
        <f aca="false">IF(M197="Gap",1,IF(M197="OK",0,""))</f>
        <v/>
      </c>
      <c r="AC197" s="16" t="str">
        <f aca="false">IF(P197&lt;&gt;"",VALUE(RIGHT(P197,1))*1000+ROW(),"")</f>
        <v/>
      </c>
      <c r="AD197" s="16" t="str">
        <f aca="false">IF(ISNUMBER(L197),MIN(L197,K197),"")</f>
        <v/>
      </c>
      <c r="AE197" s="16" t="str">
        <f aca="false">IF(AND(ISNUMBER(SEARCH(" PA "," "&amp;SUBSTITUTE($I197,","," ")&amp;" ")),ISNUMBER($L197)),$L197,"")</f>
        <v/>
      </c>
      <c r="AF197" s="16" t="str">
        <f aca="false">IF(AND(ISNUMBER(SEARCH(" PO "," "&amp;SUBSTITUTE($I197,","," ")&amp;" ")),ISNUMBER($L197)),$L197,"")</f>
        <v/>
      </c>
      <c r="AG197" s="16" t="str">
        <f aca="false">IF(AND(ISNUMBER(SEARCH(" MFA "," "&amp;SUBSTITUTE($I197,","," ")&amp;" ")),ISNUMBER($L197)),$L197,"")</f>
        <v/>
      </c>
      <c r="AH197" s="16" t="str">
        <f aca="false">IF(AND(ISNUMBER(SEARCH(" RAP "," "&amp;SUBSTITUTE($I197,","," ")&amp;" ")),ISNUMBER($L197)),$L197,"")</f>
        <v/>
      </c>
      <c r="AI197" s="16" t="str">
        <f aca="false">IF(AND(ISNUMBER(SEARCH(" AC "," "&amp;SUBSTITUTE($I197,","," ")&amp;" ")),ISNUMBER($L197)),$L197,"")</f>
        <v/>
      </c>
      <c r="AJ197" s="16" t="str">
        <f aca="false">IF(AND(ISNUMBER(SEARCH(" MAC "," "&amp;SUBSTITUTE($I197,","," ")&amp;" ")),ISNUMBER($L197)),$L197,"")</f>
        <v/>
      </c>
      <c r="AK197" s="16" t="str">
        <f aca="false">IF(AND(ISNUMBER(SEARCH(" UAH "," "&amp;SUBSTITUTE($I197,","," ")&amp;" ")),ISNUMBER($L197)),$L197,"")</f>
        <v/>
      </c>
      <c r="AL197" s="16" t="str">
        <f aca="false">IF(AND(ISNUMBER(SEARCH(" RB "," "&amp;SUBSTITUTE($I197,","," ")&amp;" ")),ISNUMBER($L197)),$L197,"")</f>
        <v/>
      </c>
    </row>
    <row r="198" customFormat="false" ht="15" hidden="false" customHeight="false" outlineLevel="0" collapsed="false">
      <c r="M198" s="13" t="str">
        <f aca="false">IF(ISNUMBER(L198),IF(L198&lt;K198,"Gap","OK"),IF(L198="N/A","N/A",""))</f>
        <v/>
      </c>
      <c r="P198" s="13" t="str">
        <f aca="false">IF(AND(M198="Gap",N198&lt;&gt;"",O198&lt;&gt;""),VLOOKUP(N198&amp;O198,Lists!$H$4:$I$12,2,FALSE()),"")</f>
        <v/>
      </c>
      <c r="Q198" s="13" t="str">
        <f aca="false">IF(AND(M198="Gap",O198="S",OR(N198="H",N198="M")),"Yes","")</f>
        <v/>
      </c>
      <c r="S198" s="14" t="str">
        <f aca="false">IF(A198="","",IFERROR(IF(OR(VLOOKUP(A198,AutoEvidence!$A$2:$G$400,2,FALSE())="Collected",VLOOKUP(A198,AutoEvidence!$A$2:$G$400,2,FALSE())="Partial"),VLOOKUP(A198,AutoEvidence!$A$2:$G$400,3,FALSE())&amp;" ("&amp;VLOOKUP(A198,AutoEvidence!$A$2:$G$400,2,FALSE())&amp;")",VLOOKUP(A198,AutoEvidence!$A$2:$G$400,2,FALSE())),""))</f>
        <v/>
      </c>
      <c r="T198" s="7" t="str">
        <f aca="false">IF(A198="","",IFERROR(VLOOKUP(A198,AutoEvidence!$A$2:$G$400,4,FALSE())&amp;"",""))</f>
        <v/>
      </c>
      <c r="AB198" s="13" t="str">
        <f aca="false">IF(M198="Gap",1,IF(M198="OK",0,""))</f>
        <v/>
      </c>
      <c r="AC198" s="16" t="str">
        <f aca="false">IF(P198&lt;&gt;"",VALUE(RIGHT(P198,1))*1000+ROW(),"")</f>
        <v/>
      </c>
      <c r="AD198" s="16" t="str">
        <f aca="false">IF(ISNUMBER(L198),MIN(L198,K198),"")</f>
        <v/>
      </c>
      <c r="AE198" s="16" t="str">
        <f aca="false">IF(AND(ISNUMBER(SEARCH(" PA "," "&amp;SUBSTITUTE($I198,","," ")&amp;" ")),ISNUMBER($L198)),$L198,"")</f>
        <v/>
      </c>
      <c r="AF198" s="16" t="str">
        <f aca="false">IF(AND(ISNUMBER(SEARCH(" PO "," "&amp;SUBSTITUTE($I198,","," ")&amp;" ")),ISNUMBER($L198)),$L198,"")</f>
        <v/>
      </c>
      <c r="AG198" s="16" t="str">
        <f aca="false">IF(AND(ISNUMBER(SEARCH(" MFA "," "&amp;SUBSTITUTE($I198,","," ")&amp;" ")),ISNUMBER($L198)),$L198,"")</f>
        <v/>
      </c>
      <c r="AH198" s="16" t="str">
        <f aca="false">IF(AND(ISNUMBER(SEARCH(" RAP "," "&amp;SUBSTITUTE($I198,","," ")&amp;" ")),ISNUMBER($L198)),$L198,"")</f>
        <v/>
      </c>
      <c r="AI198" s="16" t="str">
        <f aca="false">IF(AND(ISNUMBER(SEARCH(" AC "," "&amp;SUBSTITUTE($I198,","," ")&amp;" ")),ISNUMBER($L198)),$L198,"")</f>
        <v/>
      </c>
      <c r="AJ198" s="16" t="str">
        <f aca="false">IF(AND(ISNUMBER(SEARCH(" MAC "," "&amp;SUBSTITUTE($I198,","," ")&amp;" ")),ISNUMBER($L198)),$L198,"")</f>
        <v/>
      </c>
      <c r="AK198" s="16" t="str">
        <f aca="false">IF(AND(ISNUMBER(SEARCH(" UAH "," "&amp;SUBSTITUTE($I198,","," ")&amp;" ")),ISNUMBER($L198)),$L198,"")</f>
        <v/>
      </c>
      <c r="AL198" s="16" t="str">
        <f aca="false">IF(AND(ISNUMBER(SEARCH(" RB "," "&amp;SUBSTITUTE($I198,","," ")&amp;" ")),ISNUMBER($L198)),$L198,"")</f>
        <v/>
      </c>
    </row>
    <row r="199" customFormat="false" ht="15" hidden="false" customHeight="false" outlineLevel="0" collapsed="false">
      <c r="M199" s="13" t="str">
        <f aca="false">IF(ISNUMBER(L199),IF(L199&lt;K199,"Gap","OK"),IF(L199="N/A","N/A",""))</f>
        <v/>
      </c>
      <c r="P199" s="13" t="str">
        <f aca="false">IF(AND(M199="Gap",N199&lt;&gt;"",O199&lt;&gt;""),VLOOKUP(N199&amp;O199,Lists!$H$4:$I$12,2,FALSE()),"")</f>
        <v/>
      </c>
      <c r="Q199" s="13" t="str">
        <f aca="false">IF(AND(M199="Gap",O199="S",OR(N199="H",N199="M")),"Yes","")</f>
        <v/>
      </c>
      <c r="S199" s="14" t="str">
        <f aca="false">IF(A199="","",IFERROR(IF(OR(VLOOKUP(A199,AutoEvidence!$A$2:$G$400,2,FALSE())="Collected",VLOOKUP(A199,AutoEvidence!$A$2:$G$400,2,FALSE())="Partial"),VLOOKUP(A199,AutoEvidence!$A$2:$G$400,3,FALSE())&amp;" ("&amp;VLOOKUP(A199,AutoEvidence!$A$2:$G$400,2,FALSE())&amp;")",VLOOKUP(A199,AutoEvidence!$A$2:$G$400,2,FALSE())),""))</f>
        <v/>
      </c>
      <c r="T199" s="7" t="str">
        <f aca="false">IF(A199="","",IFERROR(VLOOKUP(A199,AutoEvidence!$A$2:$G$400,4,FALSE())&amp;"",""))</f>
        <v/>
      </c>
      <c r="AB199" s="13" t="str">
        <f aca="false">IF(M199="Gap",1,IF(M199="OK",0,""))</f>
        <v/>
      </c>
      <c r="AC199" s="16" t="str">
        <f aca="false">IF(P199&lt;&gt;"",VALUE(RIGHT(P199,1))*1000+ROW(),"")</f>
        <v/>
      </c>
      <c r="AD199" s="16" t="str">
        <f aca="false">IF(ISNUMBER(L199),MIN(L199,K199),"")</f>
        <v/>
      </c>
      <c r="AE199" s="16" t="str">
        <f aca="false">IF(AND(ISNUMBER(SEARCH(" PA "," "&amp;SUBSTITUTE($I199,","," ")&amp;" ")),ISNUMBER($L199)),$L199,"")</f>
        <v/>
      </c>
      <c r="AF199" s="16" t="str">
        <f aca="false">IF(AND(ISNUMBER(SEARCH(" PO "," "&amp;SUBSTITUTE($I199,","," ")&amp;" ")),ISNUMBER($L199)),$L199,"")</f>
        <v/>
      </c>
      <c r="AG199" s="16" t="str">
        <f aca="false">IF(AND(ISNUMBER(SEARCH(" MFA "," "&amp;SUBSTITUTE($I199,","," ")&amp;" ")),ISNUMBER($L199)),$L199,"")</f>
        <v/>
      </c>
      <c r="AH199" s="16" t="str">
        <f aca="false">IF(AND(ISNUMBER(SEARCH(" RAP "," "&amp;SUBSTITUTE($I199,","," ")&amp;" ")),ISNUMBER($L199)),$L199,"")</f>
        <v/>
      </c>
      <c r="AI199" s="16" t="str">
        <f aca="false">IF(AND(ISNUMBER(SEARCH(" AC "," "&amp;SUBSTITUTE($I199,","," ")&amp;" ")),ISNUMBER($L199)),$L199,"")</f>
        <v/>
      </c>
      <c r="AJ199" s="16" t="str">
        <f aca="false">IF(AND(ISNUMBER(SEARCH(" MAC "," "&amp;SUBSTITUTE($I199,","," ")&amp;" ")),ISNUMBER($L199)),$L199,"")</f>
        <v/>
      </c>
      <c r="AK199" s="16" t="str">
        <f aca="false">IF(AND(ISNUMBER(SEARCH(" UAH "," "&amp;SUBSTITUTE($I199,","," ")&amp;" ")),ISNUMBER($L199)),$L199,"")</f>
        <v/>
      </c>
      <c r="AL199" s="16" t="str">
        <f aca="false">IF(AND(ISNUMBER(SEARCH(" RB "," "&amp;SUBSTITUTE($I199,","," ")&amp;" ")),ISNUMBER($L199)),$L199,"")</f>
        <v/>
      </c>
    </row>
    <row r="200" customFormat="false" ht="15" hidden="false" customHeight="false" outlineLevel="0" collapsed="false">
      <c r="M200" s="13" t="str">
        <f aca="false">IF(ISNUMBER(L200),IF(L200&lt;K200,"Gap","OK"),IF(L200="N/A","N/A",""))</f>
        <v/>
      </c>
      <c r="P200" s="13" t="str">
        <f aca="false">IF(AND(M200="Gap",N200&lt;&gt;"",O200&lt;&gt;""),VLOOKUP(N200&amp;O200,Lists!$H$4:$I$12,2,FALSE()),"")</f>
        <v/>
      </c>
      <c r="Q200" s="13" t="str">
        <f aca="false">IF(AND(M200="Gap",O200="S",OR(N200="H",N200="M")),"Yes","")</f>
        <v/>
      </c>
      <c r="S200" s="14" t="str">
        <f aca="false">IF(A200="","",IFERROR(IF(OR(VLOOKUP(A200,AutoEvidence!$A$2:$G$400,2,FALSE())="Collected",VLOOKUP(A200,AutoEvidence!$A$2:$G$400,2,FALSE())="Partial"),VLOOKUP(A200,AutoEvidence!$A$2:$G$400,3,FALSE())&amp;" ("&amp;VLOOKUP(A200,AutoEvidence!$A$2:$G$400,2,FALSE())&amp;")",VLOOKUP(A200,AutoEvidence!$A$2:$G$400,2,FALSE())),""))</f>
        <v/>
      </c>
      <c r="T200" s="7" t="str">
        <f aca="false">IF(A200="","",IFERROR(VLOOKUP(A200,AutoEvidence!$A$2:$G$400,4,FALSE())&amp;"",""))</f>
        <v/>
      </c>
      <c r="AB200" s="13" t="str">
        <f aca="false">IF(M200="Gap",1,IF(M200="OK",0,""))</f>
        <v/>
      </c>
      <c r="AC200" s="16" t="str">
        <f aca="false">IF(P200&lt;&gt;"",VALUE(RIGHT(P200,1))*1000+ROW(),"")</f>
        <v/>
      </c>
      <c r="AD200" s="16" t="str">
        <f aca="false">IF(ISNUMBER(L200),MIN(L200,K200),"")</f>
        <v/>
      </c>
      <c r="AE200" s="16" t="str">
        <f aca="false">IF(AND(ISNUMBER(SEARCH(" PA "," "&amp;SUBSTITUTE($I200,","," ")&amp;" ")),ISNUMBER($L200)),$L200,"")</f>
        <v/>
      </c>
      <c r="AF200" s="16" t="str">
        <f aca="false">IF(AND(ISNUMBER(SEARCH(" PO "," "&amp;SUBSTITUTE($I200,","," ")&amp;" ")),ISNUMBER($L200)),$L200,"")</f>
        <v/>
      </c>
      <c r="AG200" s="16" t="str">
        <f aca="false">IF(AND(ISNUMBER(SEARCH(" MFA "," "&amp;SUBSTITUTE($I200,","," ")&amp;" ")),ISNUMBER($L200)),$L200,"")</f>
        <v/>
      </c>
      <c r="AH200" s="16" t="str">
        <f aca="false">IF(AND(ISNUMBER(SEARCH(" RAP "," "&amp;SUBSTITUTE($I200,","," ")&amp;" ")),ISNUMBER($L200)),$L200,"")</f>
        <v/>
      </c>
      <c r="AI200" s="16" t="str">
        <f aca="false">IF(AND(ISNUMBER(SEARCH(" AC "," "&amp;SUBSTITUTE($I200,","," ")&amp;" ")),ISNUMBER($L200)),$L200,"")</f>
        <v/>
      </c>
      <c r="AJ200" s="16" t="str">
        <f aca="false">IF(AND(ISNUMBER(SEARCH(" MAC "," "&amp;SUBSTITUTE($I200,","," ")&amp;" ")),ISNUMBER($L200)),$L200,"")</f>
        <v/>
      </c>
      <c r="AK200" s="16" t="str">
        <f aca="false">IF(AND(ISNUMBER(SEARCH(" UAH "," "&amp;SUBSTITUTE($I200,","," ")&amp;" ")),ISNUMBER($L200)),$L200,"")</f>
        <v/>
      </c>
      <c r="AL200" s="16" t="str">
        <f aca="false">IF(AND(ISNUMBER(SEARCH(" RB "," "&amp;SUBSTITUTE($I200,","," ")&amp;" ")),ISNUMBER($L200)),$L200,"")</f>
        <v/>
      </c>
    </row>
    <row r="201" customFormat="false" ht="15" hidden="false" customHeight="false" outlineLevel="0" collapsed="false">
      <c r="M201" s="13" t="str">
        <f aca="false">IF(ISNUMBER(L201),IF(L201&lt;K201,"Gap","OK"),IF(L201="N/A","N/A",""))</f>
        <v/>
      </c>
      <c r="P201" s="13" t="str">
        <f aca="false">IF(AND(M201="Gap",N201&lt;&gt;"",O201&lt;&gt;""),VLOOKUP(N201&amp;O201,Lists!$H$4:$I$12,2,FALSE()),"")</f>
        <v/>
      </c>
      <c r="Q201" s="13" t="str">
        <f aca="false">IF(AND(M201="Gap",O201="S",OR(N201="H",N201="M")),"Yes","")</f>
        <v/>
      </c>
      <c r="S201" s="14" t="str">
        <f aca="false">IF(A201="","",IFERROR(IF(OR(VLOOKUP(A201,AutoEvidence!$A$2:$G$400,2,FALSE())="Collected",VLOOKUP(A201,AutoEvidence!$A$2:$G$400,2,FALSE())="Partial"),VLOOKUP(A201,AutoEvidence!$A$2:$G$400,3,FALSE())&amp;" ("&amp;VLOOKUP(A201,AutoEvidence!$A$2:$G$400,2,FALSE())&amp;")",VLOOKUP(A201,AutoEvidence!$A$2:$G$400,2,FALSE())),""))</f>
        <v/>
      </c>
      <c r="T201" s="7" t="str">
        <f aca="false">IF(A201="","",IFERROR(VLOOKUP(A201,AutoEvidence!$A$2:$G$400,4,FALSE())&amp;"",""))</f>
        <v/>
      </c>
      <c r="AB201" s="13" t="str">
        <f aca="false">IF(M201="Gap",1,IF(M201="OK",0,""))</f>
        <v/>
      </c>
      <c r="AC201" s="16" t="str">
        <f aca="false">IF(P201&lt;&gt;"",VALUE(RIGHT(P201,1))*1000+ROW(),"")</f>
        <v/>
      </c>
      <c r="AD201" s="16" t="str">
        <f aca="false">IF(ISNUMBER(L201),MIN(L201,K201),"")</f>
        <v/>
      </c>
      <c r="AE201" s="16" t="str">
        <f aca="false">IF(AND(ISNUMBER(SEARCH(" PA "," "&amp;SUBSTITUTE($I201,","," ")&amp;" ")),ISNUMBER($L201)),$L201,"")</f>
        <v/>
      </c>
      <c r="AF201" s="16" t="str">
        <f aca="false">IF(AND(ISNUMBER(SEARCH(" PO "," "&amp;SUBSTITUTE($I201,","," ")&amp;" ")),ISNUMBER($L201)),$L201,"")</f>
        <v/>
      </c>
      <c r="AG201" s="16" t="str">
        <f aca="false">IF(AND(ISNUMBER(SEARCH(" MFA "," "&amp;SUBSTITUTE($I201,","," ")&amp;" ")),ISNUMBER($L201)),$L201,"")</f>
        <v/>
      </c>
      <c r="AH201" s="16" t="str">
        <f aca="false">IF(AND(ISNUMBER(SEARCH(" RAP "," "&amp;SUBSTITUTE($I201,","," ")&amp;" ")),ISNUMBER($L201)),$L201,"")</f>
        <v/>
      </c>
      <c r="AI201" s="16" t="str">
        <f aca="false">IF(AND(ISNUMBER(SEARCH(" AC "," "&amp;SUBSTITUTE($I201,","," ")&amp;" ")),ISNUMBER($L201)),$L201,"")</f>
        <v/>
      </c>
      <c r="AJ201" s="16" t="str">
        <f aca="false">IF(AND(ISNUMBER(SEARCH(" MAC "," "&amp;SUBSTITUTE($I201,","," ")&amp;" ")),ISNUMBER($L201)),$L201,"")</f>
        <v/>
      </c>
      <c r="AK201" s="16" t="str">
        <f aca="false">IF(AND(ISNUMBER(SEARCH(" UAH "," "&amp;SUBSTITUTE($I201,","," ")&amp;" ")),ISNUMBER($L201)),$L201,"")</f>
        <v/>
      </c>
      <c r="AL201" s="16" t="str">
        <f aca="false">IF(AND(ISNUMBER(SEARCH(" RB "," "&amp;SUBSTITUTE($I201,","," ")&amp;" ")),ISNUMBER($L201)),$L201,"")</f>
        <v/>
      </c>
    </row>
    <row r="202" customFormat="false" ht="15" hidden="false" customHeight="false" outlineLevel="0" collapsed="false">
      <c r="M202" s="13" t="str">
        <f aca="false">IF(ISNUMBER(L202),IF(L202&lt;K202,"Gap","OK"),IF(L202="N/A","N/A",""))</f>
        <v/>
      </c>
      <c r="P202" s="13" t="str">
        <f aca="false">IF(AND(M202="Gap",N202&lt;&gt;"",O202&lt;&gt;""),VLOOKUP(N202&amp;O202,Lists!$H$4:$I$12,2,FALSE()),"")</f>
        <v/>
      </c>
      <c r="Q202" s="13" t="str">
        <f aca="false">IF(AND(M202="Gap",O202="S",OR(N202="H",N202="M")),"Yes","")</f>
        <v/>
      </c>
      <c r="S202" s="14" t="str">
        <f aca="false">IF(A202="","",IFERROR(IF(OR(VLOOKUP(A202,AutoEvidence!$A$2:$G$400,2,FALSE())="Collected",VLOOKUP(A202,AutoEvidence!$A$2:$G$400,2,FALSE())="Partial"),VLOOKUP(A202,AutoEvidence!$A$2:$G$400,3,FALSE())&amp;" ("&amp;VLOOKUP(A202,AutoEvidence!$A$2:$G$400,2,FALSE())&amp;")",VLOOKUP(A202,AutoEvidence!$A$2:$G$400,2,FALSE())),""))</f>
        <v/>
      </c>
      <c r="T202" s="7" t="str">
        <f aca="false">IF(A202="","",IFERROR(VLOOKUP(A202,AutoEvidence!$A$2:$G$400,4,FALSE())&amp;"",""))</f>
        <v/>
      </c>
      <c r="AB202" s="13" t="str">
        <f aca="false">IF(M202="Gap",1,IF(M202="OK",0,""))</f>
        <v/>
      </c>
      <c r="AC202" s="16" t="str">
        <f aca="false">IF(P202&lt;&gt;"",VALUE(RIGHT(P202,1))*1000+ROW(),"")</f>
        <v/>
      </c>
      <c r="AD202" s="16" t="str">
        <f aca="false">IF(ISNUMBER(L202),MIN(L202,K202),"")</f>
        <v/>
      </c>
      <c r="AE202" s="16" t="str">
        <f aca="false">IF(AND(ISNUMBER(SEARCH(" PA "," "&amp;SUBSTITUTE($I202,","," ")&amp;" ")),ISNUMBER($L202)),$L202,"")</f>
        <v/>
      </c>
      <c r="AF202" s="16" t="str">
        <f aca="false">IF(AND(ISNUMBER(SEARCH(" PO "," "&amp;SUBSTITUTE($I202,","," ")&amp;" ")),ISNUMBER($L202)),$L202,"")</f>
        <v/>
      </c>
      <c r="AG202" s="16" t="str">
        <f aca="false">IF(AND(ISNUMBER(SEARCH(" MFA "," "&amp;SUBSTITUTE($I202,","," ")&amp;" ")),ISNUMBER($L202)),$L202,"")</f>
        <v/>
      </c>
      <c r="AH202" s="16" t="str">
        <f aca="false">IF(AND(ISNUMBER(SEARCH(" RAP "," "&amp;SUBSTITUTE($I202,","," ")&amp;" ")),ISNUMBER($L202)),$L202,"")</f>
        <v/>
      </c>
      <c r="AI202" s="16" t="str">
        <f aca="false">IF(AND(ISNUMBER(SEARCH(" AC "," "&amp;SUBSTITUTE($I202,","," ")&amp;" ")),ISNUMBER($L202)),$L202,"")</f>
        <v/>
      </c>
      <c r="AJ202" s="16" t="str">
        <f aca="false">IF(AND(ISNUMBER(SEARCH(" MAC "," "&amp;SUBSTITUTE($I202,","," ")&amp;" ")),ISNUMBER($L202)),$L202,"")</f>
        <v/>
      </c>
      <c r="AK202" s="16" t="str">
        <f aca="false">IF(AND(ISNUMBER(SEARCH(" UAH "," "&amp;SUBSTITUTE($I202,","," ")&amp;" ")),ISNUMBER($L202)),$L202,"")</f>
        <v/>
      </c>
      <c r="AL202" s="16" t="str">
        <f aca="false">IF(AND(ISNUMBER(SEARCH(" RB "," "&amp;SUBSTITUTE($I202,","," ")&amp;" ")),ISNUMBER($L202)),$L202,"")</f>
        <v/>
      </c>
    </row>
    <row r="203" customFormat="false" ht="15" hidden="false" customHeight="false" outlineLevel="0" collapsed="false">
      <c r="M203" s="13" t="str">
        <f aca="false">IF(ISNUMBER(L203),IF(L203&lt;K203,"Gap","OK"),IF(L203="N/A","N/A",""))</f>
        <v/>
      </c>
      <c r="P203" s="13" t="str">
        <f aca="false">IF(AND(M203="Gap",N203&lt;&gt;"",O203&lt;&gt;""),VLOOKUP(N203&amp;O203,Lists!$H$4:$I$12,2,FALSE()),"")</f>
        <v/>
      </c>
      <c r="Q203" s="13" t="str">
        <f aca="false">IF(AND(M203="Gap",O203="S",OR(N203="H",N203="M")),"Yes","")</f>
        <v/>
      </c>
      <c r="S203" s="14" t="str">
        <f aca="false">IF(A203="","",IFERROR(IF(OR(VLOOKUP(A203,AutoEvidence!$A$2:$G$400,2,FALSE())="Collected",VLOOKUP(A203,AutoEvidence!$A$2:$G$400,2,FALSE())="Partial"),VLOOKUP(A203,AutoEvidence!$A$2:$G$400,3,FALSE())&amp;" ("&amp;VLOOKUP(A203,AutoEvidence!$A$2:$G$400,2,FALSE())&amp;")",VLOOKUP(A203,AutoEvidence!$A$2:$G$400,2,FALSE())),""))</f>
        <v/>
      </c>
      <c r="T203" s="7" t="str">
        <f aca="false">IF(A203="","",IFERROR(VLOOKUP(A203,AutoEvidence!$A$2:$G$400,4,FALSE())&amp;"",""))</f>
        <v/>
      </c>
      <c r="AB203" s="13" t="str">
        <f aca="false">IF(M203="Gap",1,IF(M203="OK",0,""))</f>
        <v/>
      </c>
      <c r="AC203" s="16" t="str">
        <f aca="false">IF(P203&lt;&gt;"",VALUE(RIGHT(P203,1))*1000+ROW(),"")</f>
        <v/>
      </c>
      <c r="AD203" s="16" t="str">
        <f aca="false">IF(ISNUMBER(L203),MIN(L203,K203),"")</f>
        <v/>
      </c>
      <c r="AE203" s="16" t="str">
        <f aca="false">IF(AND(ISNUMBER(SEARCH(" PA "," "&amp;SUBSTITUTE($I203,","," ")&amp;" ")),ISNUMBER($L203)),$L203,"")</f>
        <v/>
      </c>
      <c r="AF203" s="16" t="str">
        <f aca="false">IF(AND(ISNUMBER(SEARCH(" PO "," "&amp;SUBSTITUTE($I203,","," ")&amp;" ")),ISNUMBER($L203)),$L203,"")</f>
        <v/>
      </c>
      <c r="AG203" s="16" t="str">
        <f aca="false">IF(AND(ISNUMBER(SEARCH(" MFA "," "&amp;SUBSTITUTE($I203,","," ")&amp;" ")),ISNUMBER($L203)),$L203,"")</f>
        <v/>
      </c>
      <c r="AH203" s="16" t="str">
        <f aca="false">IF(AND(ISNUMBER(SEARCH(" RAP "," "&amp;SUBSTITUTE($I203,","," ")&amp;" ")),ISNUMBER($L203)),$L203,"")</f>
        <v/>
      </c>
      <c r="AI203" s="16" t="str">
        <f aca="false">IF(AND(ISNUMBER(SEARCH(" AC "," "&amp;SUBSTITUTE($I203,","," ")&amp;" ")),ISNUMBER($L203)),$L203,"")</f>
        <v/>
      </c>
      <c r="AJ203" s="16" t="str">
        <f aca="false">IF(AND(ISNUMBER(SEARCH(" MAC "," "&amp;SUBSTITUTE($I203,","," ")&amp;" ")),ISNUMBER($L203)),$L203,"")</f>
        <v/>
      </c>
      <c r="AK203" s="16" t="str">
        <f aca="false">IF(AND(ISNUMBER(SEARCH(" UAH "," "&amp;SUBSTITUTE($I203,","," ")&amp;" ")),ISNUMBER($L203)),$L203,"")</f>
        <v/>
      </c>
      <c r="AL203" s="16" t="str">
        <f aca="false">IF(AND(ISNUMBER(SEARCH(" RB "," "&amp;SUBSTITUTE($I203,","," ")&amp;" ")),ISNUMBER($L203)),$L203,"")</f>
        <v/>
      </c>
    </row>
    <row r="204" customFormat="false" ht="15" hidden="false" customHeight="false" outlineLevel="0" collapsed="false">
      <c r="M204" s="13" t="str">
        <f aca="false">IF(ISNUMBER(L204),IF(L204&lt;K204,"Gap","OK"),IF(L204="N/A","N/A",""))</f>
        <v/>
      </c>
      <c r="P204" s="13" t="str">
        <f aca="false">IF(AND(M204="Gap",N204&lt;&gt;"",O204&lt;&gt;""),VLOOKUP(N204&amp;O204,Lists!$H$4:$I$12,2,FALSE()),"")</f>
        <v/>
      </c>
      <c r="Q204" s="13" t="str">
        <f aca="false">IF(AND(M204="Gap",O204="S",OR(N204="H",N204="M")),"Yes","")</f>
        <v/>
      </c>
      <c r="S204" s="14" t="str">
        <f aca="false">IF(A204="","",IFERROR(IF(OR(VLOOKUP(A204,AutoEvidence!$A$2:$G$400,2,FALSE())="Collected",VLOOKUP(A204,AutoEvidence!$A$2:$G$400,2,FALSE())="Partial"),VLOOKUP(A204,AutoEvidence!$A$2:$G$400,3,FALSE())&amp;" ("&amp;VLOOKUP(A204,AutoEvidence!$A$2:$G$400,2,FALSE())&amp;")",VLOOKUP(A204,AutoEvidence!$A$2:$G$400,2,FALSE())),""))</f>
        <v/>
      </c>
      <c r="T204" s="7" t="str">
        <f aca="false">IF(A204="","",IFERROR(VLOOKUP(A204,AutoEvidence!$A$2:$G$400,4,FALSE())&amp;"",""))</f>
        <v/>
      </c>
      <c r="AB204" s="13" t="str">
        <f aca="false">IF(M204="Gap",1,IF(M204="OK",0,""))</f>
        <v/>
      </c>
      <c r="AC204" s="16" t="str">
        <f aca="false">IF(P204&lt;&gt;"",VALUE(RIGHT(P204,1))*1000+ROW(),"")</f>
        <v/>
      </c>
      <c r="AD204" s="16" t="str">
        <f aca="false">IF(ISNUMBER(L204),MIN(L204,K204),"")</f>
        <v/>
      </c>
      <c r="AE204" s="16" t="str">
        <f aca="false">IF(AND(ISNUMBER(SEARCH(" PA "," "&amp;SUBSTITUTE($I204,","," ")&amp;" ")),ISNUMBER($L204)),$L204,"")</f>
        <v/>
      </c>
      <c r="AF204" s="16" t="str">
        <f aca="false">IF(AND(ISNUMBER(SEARCH(" PO "," "&amp;SUBSTITUTE($I204,","," ")&amp;" ")),ISNUMBER($L204)),$L204,"")</f>
        <v/>
      </c>
      <c r="AG204" s="16" t="str">
        <f aca="false">IF(AND(ISNUMBER(SEARCH(" MFA "," "&amp;SUBSTITUTE($I204,","," ")&amp;" ")),ISNUMBER($L204)),$L204,"")</f>
        <v/>
      </c>
      <c r="AH204" s="16" t="str">
        <f aca="false">IF(AND(ISNUMBER(SEARCH(" RAP "," "&amp;SUBSTITUTE($I204,","," ")&amp;" ")),ISNUMBER($L204)),$L204,"")</f>
        <v/>
      </c>
      <c r="AI204" s="16" t="str">
        <f aca="false">IF(AND(ISNUMBER(SEARCH(" AC "," "&amp;SUBSTITUTE($I204,","," ")&amp;" ")),ISNUMBER($L204)),$L204,"")</f>
        <v/>
      </c>
      <c r="AJ204" s="16" t="str">
        <f aca="false">IF(AND(ISNUMBER(SEARCH(" MAC "," "&amp;SUBSTITUTE($I204,","," ")&amp;" ")),ISNUMBER($L204)),$L204,"")</f>
        <v/>
      </c>
      <c r="AK204" s="16" t="str">
        <f aca="false">IF(AND(ISNUMBER(SEARCH(" UAH "," "&amp;SUBSTITUTE($I204,","," ")&amp;" ")),ISNUMBER($L204)),$L204,"")</f>
        <v/>
      </c>
      <c r="AL204" s="16" t="str">
        <f aca="false">IF(AND(ISNUMBER(SEARCH(" RB "," "&amp;SUBSTITUTE($I204,","," ")&amp;" ")),ISNUMBER($L204)),$L204,"")</f>
        <v/>
      </c>
    </row>
    <row r="205" customFormat="false" ht="15" hidden="false" customHeight="false" outlineLevel="0" collapsed="false">
      <c r="M205" s="13" t="str">
        <f aca="false">IF(ISNUMBER(L205),IF(L205&lt;K205,"Gap","OK"),IF(L205="N/A","N/A",""))</f>
        <v/>
      </c>
      <c r="P205" s="13" t="str">
        <f aca="false">IF(AND(M205="Gap",N205&lt;&gt;"",O205&lt;&gt;""),VLOOKUP(N205&amp;O205,Lists!$H$4:$I$12,2,FALSE()),"")</f>
        <v/>
      </c>
      <c r="Q205" s="13" t="str">
        <f aca="false">IF(AND(M205="Gap",O205="S",OR(N205="H",N205="M")),"Yes","")</f>
        <v/>
      </c>
      <c r="S205" s="14" t="str">
        <f aca="false">IF(A205="","",IFERROR(IF(OR(VLOOKUP(A205,AutoEvidence!$A$2:$G$400,2,FALSE())="Collected",VLOOKUP(A205,AutoEvidence!$A$2:$G$400,2,FALSE())="Partial"),VLOOKUP(A205,AutoEvidence!$A$2:$G$400,3,FALSE())&amp;" ("&amp;VLOOKUP(A205,AutoEvidence!$A$2:$G$400,2,FALSE())&amp;")",VLOOKUP(A205,AutoEvidence!$A$2:$G$400,2,FALSE())),""))</f>
        <v/>
      </c>
      <c r="T205" s="7" t="str">
        <f aca="false">IF(A205="","",IFERROR(VLOOKUP(A205,AutoEvidence!$A$2:$G$400,4,FALSE())&amp;"",""))</f>
        <v/>
      </c>
      <c r="AB205" s="13" t="str">
        <f aca="false">IF(M205="Gap",1,IF(M205="OK",0,""))</f>
        <v/>
      </c>
      <c r="AC205" s="16" t="str">
        <f aca="false">IF(P205&lt;&gt;"",VALUE(RIGHT(P205,1))*1000+ROW(),"")</f>
        <v/>
      </c>
      <c r="AD205" s="16" t="str">
        <f aca="false">IF(ISNUMBER(L205),MIN(L205,K205),"")</f>
        <v/>
      </c>
      <c r="AE205" s="16" t="str">
        <f aca="false">IF(AND(ISNUMBER(SEARCH(" PA "," "&amp;SUBSTITUTE($I205,","," ")&amp;" ")),ISNUMBER($L205)),$L205,"")</f>
        <v/>
      </c>
      <c r="AF205" s="16" t="str">
        <f aca="false">IF(AND(ISNUMBER(SEARCH(" PO "," "&amp;SUBSTITUTE($I205,","," ")&amp;" ")),ISNUMBER($L205)),$L205,"")</f>
        <v/>
      </c>
      <c r="AG205" s="16" t="str">
        <f aca="false">IF(AND(ISNUMBER(SEARCH(" MFA "," "&amp;SUBSTITUTE($I205,","," ")&amp;" ")),ISNUMBER($L205)),$L205,"")</f>
        <v/>
      </c>
      <c r="AH205" s="16" t="str">
        <f aca="false">IF(AND(ISNUMBER(SEARCH(" RAP "," "&amp;SUBSTITUTE($I205,","," ")&amp;" ")),ISNUMBER($L205)),$L205,"")</f>
        <v/>
      </c>
      <c r="AI205" s="16" t="str">
        <f aca="false">IF(AND(ISNUMBER(SEARCH(" AC "," "&amp;SUBSTITUTE($I205,","," ")&amp;" ")),ISNUMBER($L205)),$L205,"")</f>
        <v/>
      </c>
      <c r="AJ205" s="16" t="str">
        <f aca="false">IF(AND(ISNUMBER(SEARCH(" MAC "," "&amp;SUBSTITUTE($I205,","," ")&amp;" ")),ISNUMBER($L205)),$L205,"")</f>
        <v/>
      </c>
      <c r="AK205" s="16" t="str">
        <f aca="false">IF(AND(ISNUMBER(SEARCH(" UAH "," "&amp;SUBSTITUTE($I205,","," ")&amp;" ")),ISNUMBER($L205)),$L205,"")</f>
        <v/>
      </c>
      <c r="AL205" s="16" t="str">
        <f aca="false">IF(AND(ISNUMBER(SEARCH(" RB "," "&amp;SUBSTITUTE($I205,","," ")&amp;" ")),ISNUMBER($L205)),$L205,"")</f>
        <v/>
      </c>
    </row>
    <row r="206" customFormat="false" ht="15" hidden="false" customHeight="false" outlineLevel="0" collapsed="false">
      <c r="M206" s="13" t="str">
        <f aca="false">IF(ISNUMBER(L206),IF(L206&lt;K206,"Gap","OK"),IF(L206="N/A","N/A",""))</f>
        <v/>
      </c>
      <c r="P206" s="13" t="str">
        <f aca="false">IF(AND(M206="Gap",N206&lt;&gt;"",O206&lt;&gt;""),VLOOKUP(N206&amp;O206,Lists!$H$4:$I$12,2,FALSE()),"")</f>
        <v/>
      </c>
      <c r="Q206" s="13" t="str">
        <f aca="false">IF(AND(M206="Gap",O206="S",OR(N206="H",N206="M")),"Yes","")</f>
        <v/>
      </c>
      <c r="S206" s="14" t="str">
        <f aca="false">IF(A206="","",IFERROR(IF(OR(VLOOKUP(A206,AutoEvidence!$A$2:$G$400,2,FALSE())="Collected",VLOOKUP(A206,AutoEvidence!$A$2:$G$400,2,FALSE())="Partial"),VLOOKUP(A206,AutoEvidence!$A$2:$G$400,3,FALSE())&amp;" ("&amp;VLOOKUP(A206,AutoEvidence!$A$2:$G$400,2,FALSE())&amp;")",VLOOKUP(A206,AutoEvidence!$A$2:$G$400,2,FALSE())),""))</f>
        <v/>
      </c>
      <c r="T206" s="7" t="str">
        <f aca="false">IF(A206="","",IFERROR(VLOOKUP(A206,AutoEvidence!$A$2:$G$400,4,FALSE())&amp;"",""))</f>
        <v/>
      </c>
      <c r="AB206" s="13" t="str">
        <f aca="false">IF(M206="Gap",1,IF(M206="OK",0,""))</f>
        <v/>
      </c>
      <c r="AC206" s="16" t="str">
        <f aca="false">IF(P206&lt;&gt;"",VALUE(RIGHT(P206,1))*1000+ROW(),"")</f>
        <v/>
      </c>
      <c r="AD206" s="16" t="str">
        <f aca="false">IF(ISNUMBER(L206),MIN(L206,K206),"")</f>
        <v/>
      </c>
      <c r="AE206" s="16" t="str">
        <f aca="false">IF(AND(ISNUMBER(SEARCH(" PA "," "&amp;SUBSTITUTE($I206,","," ")&amp;" ")),ISNUMBER($L206)),$L206,"")</f>
        <v/>
      </c>
      <c r="AF206" s="16" t="str">
        <f aca="false">IF(AND(ISNUMBER(SEARCH(" PO "," "&amp;SUBSTITUTE($I206,","," ")&amp;" ")),ISNUMBER($L206)),$L206,"")</f>
        <v/>
      </c>
      <c r="AG206" s="16" t="str">
        <f aca="false">IF(AND(ISNUMBER(SEARCH(" MFA "," "&amp;SUBSTITUTE($I206,","," ")&amp;" ")),ISNUMBER($L206)),$L206,"")</f>
        <v/>
      </c>
      <c r="AH206" s="16" t="str">
        <f aca="false">IF(AND(ISNUMBER(SEARCH(" RAP "," "&amp;SUBSTITUTE($I206,","," ")&amp;" ")),ISNUMBER($L206)),$L206,"")</f>
        <v/>
      </c>
      <c r="AI206" s="16" t="str">
        <f aca="false">IF(AND(ISNUMBER(SEARCH(" AC "," "&amp;SUBSTITUTE($I206,","," ")&amp;" ")),ISNUMBER($L206)),$L206,"")</f>
        <v/>
      </c>
      <c r="AJ206" s="16" t="str">
        <f aca="false">IF(AND(ISNUMBER(SEARCH(" MAC "," "&amp;SUBSTITUTE($I206,","," ")&amp;" ")),ISNUMBER($L206)),$L206,"")</f>
        <v/>
      </c>
      <c r="AK206" s="16" t="str">
        <f aca="false">IF(AND(ISNUMBER(SEARCH(" UAH "," "&amp;SUBSTITUTE($I206,","," ")&amp;" ")),ISNUMBER($L206)),$L206,"")</f>
        <v/>
      </c>
      <c r="AL206" s="16" t="str">
        <f aca="false">IF(AND(ISNUMBER(SEARCH(" RB "," "&amp;SUBSTITUTE($I206,","," ")&amp;" ")),ISNUMBER($L206)),$L206,"")</f>
        <v/>
      </c>
    </row>
    <row r="207" customFormat="false" ht="15" hidden="false" customHeight="false" outlineLevel="0" collapsed="false">
      <c r="M207" s="13" t="str">
        <f aca="false">IF(ISNUMBER(L207),IF(L207&lt;K207,"Gap","OK"),IF(L207="N/A","N/A",""))</f>
        <v/>
      </c>
      <c r="P207" s="13" t="str">
        <f aca="false">IF(AND(M207="Gap",N207&lt;&gt;"",O207&lt;&gt;""),VLOOKUP(N207&amp;O207,Lists!$H$4:$I$12,2,FALSE()),"")</f>
        <v/>
      </c>
      <c r="Q207" s="13" t="str">
        <f aca="false">IF(AND(M207="Gap",O207="S",OR(N207="H",N207="M")),"Yes","")</f>
        <v/>
      </c>
      <c r="S207" s="14" t="str">
        <f aca="false">IF(A207="","",IFERROR(IF(OR(VLOOKUP(A207,AutoEvidence!$A$2:$G$400,2,FALSE())="Collected",VLOOKUP(A207,AutoEvidence!$A$2:$G$400,2,FALSE())="Partial"),VLOOKUP(A207,AutoEvidence!$A$2:$G$400,3,FALSE())&amp;" ("&amp;VLOOKUP(A207,AutoEvidence!$A$2:$G$400,2,FALSE())&amp;")",VLOOKUP(A207,AutoEvidence!$A$2:$G$400,2,FALSE())),""))</f>
        <v/>
      </c>
      <c r="T207" s="7" t="str">
        <f aca="false">IF(A207="","",IFERROR(VLOOKUP(A207,AutoEvidence!$A$2:$G$400,4,FALSE())&amp;"",""))</f>
        <v/>
      </c>
      <c r="AB207" s="13" t="str">
        <f aca="false">IF(M207="Gap",1,IF(M207="OK",0,""))</f>
        <v/>
      </c>
      <c r="AC207" s="16" t="str">
        <f aca="false">IF(P207&lt;&gt;"",VALUE(RIGHT(P207,1))*1000+ROW(),"")</f>
        <v/>
      </c>
      <c r="AD207" s="16" t="str">
        <f aca="false">IF(ISNUMBER(L207),MIN(L207,K207),"")</f>
        <v/>
      </c>
      <c r="AE207" s="16" t="str">
        <f aca="false">IF(AND(ISNUMBER(SEARCH(" PA "," "&amp;SUBSTITUTE($I207,","," ")&amp;" ")),ISNUMBER($L207)),$L207,"")</f>
        <v/>
      </c>
      <c r="AF207" s="16" t="str">
        <f aca="false">IF(AND(ISNUMBER(SEARCH(" PO "," "&amp;SUBSTITUTE($I207,","," ")&amp;" ")),ISNUMBER($L207)),$L207,"")</f>
        <v/>
      </c>
      <c r="AG207" s="16" t="str">
        <f aca="false">IF(AND(ISNUMBER(SEARCH(" MFA "," "&amp;SUBSTITUTE($I207,","," ")&amp;" ")),ISNUMBER($L207)),$L207,"")</f>
        <v/>
      </c>
      <c r="AH207" s="16" t="str">
        <f aca="false">IF(AND(ISNUMBER(SEARCH(" RAP "," "&amp;SUBSTITUTE($I207,","," ")&amp;" ")),ISNUMBER($L207)),$L207,"")</f>
        <v/>
      </c>
      <c r="AI207" s="16" t="str">
        <f aca="false">IF(AND(ISNUMBER(SEARCH(" AC "," "&amp;SUBSTITUTE($I207,","," ")&amp;" ")),ISNUMBER($L207)),$L207,"")</f>
        <v/>
      </c>
      <c r="AJ207" s="16" t="str">
        <f aca="false">IF(AND(ISNUMBER(SEARCH(" MAC "," "&amp;SUBSTITUTE($I207,","," ")&amp;" ")),ISNUMBER($L207)),$L207,"")</f>
        <v/>
      </c>
      <c r="AK207" s="16" t="str">
        <f aca="false">IF(AND(ISNUMBER(SEARCH(" UAH "," "&amp;SUBSTITUTE($I207,","," ")&amp;" ")),ISNUMBER($L207)),$L207,"")</f>
        <v/>
      </c>
      <c r="AL207" s="16" t="str">
        <f aca="false">IF(AND(ISNUMBER(SEARCH(" RB "," "&amp;SUBSTITUTE($I207,","," ")&amp;" ")),ISNUMBER($L207)),$L207,"")</f>
        <v/>
      </c>
    </row>
    <row r="208" customFormat="false" ht="15" hidden="false" customHeight="false" outlineLevel="0" collapsed="false">
      <c r="M208" s="13" t="str">
        <f aca="false">IF(ISNUMBER(L208),IF(L208&lt;K208,"Gap","OK"),IF(L208="N/A","N/A",""))</f>
        <v/>
      </c>
      <c r="P208" s="13" t="str">
        <f aca="false">IF(AND(M208="Gap",N208&lt;&gt;"",O208&lt;&gt;""),VLOOKUP(N208&amp;O208,Lists!$H$4:$I$12,2,FALSE()),"")</f>
        <v/>
      </c>
      <c r="Q208" s="13" t="str">
        <f aca="false">IF(AND(M208="Gap",O208="S",OR(N208="H",N208="M")),"Yes","")</f>
        <v/>
      </c>
      <c r="S208" s="14" t="str">
        <f aca="false">IF(A208="","",IFERROR(IF(OR(VLOOKUP(A208,AutoEvidence!$A$2:$G$400,2,FALSE())="Collected",VLOOKUP(A208,AutoEvidence!$A$2:$G$400,2,FALSE())="Partial"),VLOOKUP(A208,AutoEvidence!$A$2:$G$400,3,FALSE())&amp;" ("&amp;VLOOKUP(A208,AutoEvidence!$A$2:$G$400,2,FALSE())&amp;")",VLOOKUP(A208,AutoEvidence!$A$2:$G$400,2,FALSE())),""))</f>
        <v/>
      </c>
      <c r="T208" s="7" t="str">
        <f aca="false">IF(A208="","",IFERROR(VLOOKUP(A208,AutoEvidence!$A$2:$G$400,4,FALSE())&amp;"",""))</f>
        <v/>
      </c>
      <c r="AB208" s="13" t="str">
        <f aca="false">IF(M208="Gap",1,IF(M208="OK",0,""))</f>
        <v/>
      </c>
      <c r="AC208" s="16" t="str">
        <f aca="false">IF(P208&lt;&gt;"",VALUE(RIGHT(P208,1))*1000+ROW(),"")</f>
        <v/>
      </c>
      <c r="AD208" s="16" t="str">
        <f aca="false">IF(ISNUMBER(L208),MIN(L208,K208),"")</f>
        <v/>
      </c>
      <c r="AE208" s="16" t="str">
        <f aca="false">IF(AND(ISNUMBER(SEARCH(" PA "," "&amp;SUBSTITUTE($I208,","," ")&amp;" ")),ISNUMBER($L208)),$L208,"")</f>
        <v/>
      </c>
      <c r="AF208" s="16" t="str">
        <f aca="false">IF(AND(ISNUMBER(SEARCH(" PO "," "&amp;SUBSTITUTE($I208,","," ")&amp;" ")),ISNUMBER($L208)),$L208,"")</f>
        <v/>
      </c>
      <c r="AG208" s="16" t="str">
        <f aca="false">IF(AND(ISNUMBER(SEARCH(" MFA "," "&amp;SUBSTITUTE($I208,","," ")&amp;" ")),ISNUMBER($L208)),$L208,"")</f>
        <v/>
      </c>
      <c r="AH208" s="16" t="str">
        <f aca="false">IF(AND(ISNUMBER(SEARCH(" RAP "," "&amp;SUBSTITUTE($I208,","," ")&amp;" ")),ISNUMBER($L208)),$L208,"")</f>
        <v/>
      </c>
      <c r="AI208" s="16" t="str">
        <f aca="false">IF(AND(ISNUMBER(SEARCH(" AC "," "&amp;SUBSTITUTE($I208,","," ")&amp;" ")),ISNUMBER($L208)),$L208,"")</f>
        <v/>
      </c>
      <c r="AJ208" s="16" t="str">
        <f aca="false">IF(AND(ISNUMBER(SEARCH(" MAC "," "&amp;SUBSTITUTE($I208,","," ")&amp;" ")),ISNUMBER($L208)),$L208,"")</f>
        <v/>
      </c>
      <c r="AK208" s="16" t="str">
        <f aca="false">IF(AND(ISNUMBER(SEARCH(" UAH "," "&amp;SUBSTITUTE($I208,","," ")&amp;" ")),ISNUMBER($L208)),$L208,"")</f>
        <v/>
      </c>
      <c r="AL208" s="16" t="str">
        <f aca="false">IF(AND(ISNUMBER(SEARCH(" RB "," "&amp;SUBSTITUTE($I208,","," ")&amp;" ")),ISNUMBER($L208)),$L208,"")</f>
        <v/>
      </c>
    </row>
    <row r="209" customFormat="false" ht="15" hidden="false" customHeight="false" outlineLevel="0" collapsed="false">
      <c r="M209" s="13" t="str">
        <f aca="false">IF(ISNUMBER(L209),IF(L209&lt;K209,"Gap","OK"),IF(L209="N/A","N/A",""))</f>
        <v/>
      </c>
      <c r="P209" s="13" t="str">
        <f aca="false">IF(AND(M209="Gap",N209&lt;&gt;"",O209&lt;&gt;""),VLOOKUP(N209&amp;O209,Lists!$H$4:$I$12,2,FALSE()),"")</f>
        <v/>
      </c>
      <c r="Q209" s="13" t="str">
        <f aca="false">IF(AND(M209="Gap",O209="S",OR(N209="H",N209="M")),"Yes","")</f>
        <v/>
      </c>
      <c r="S209" s="14" t="str">
        <f aca="false">IF(A209="","",IFERROR(IF(OR(VLOOKUP(A209,AutoEvidence!$A$2:$G$400,2,FALSE())="Collected",VLOOKUP(A209,AutoEvidence!$A$2:$G$400,2,FALSE())="Partial"),VLOOKUP(A209,AutoEvidence!$A$2:$G$400,3,FALSE())&amp;" ("&amp;VLOOKUP(A209,AutoEvidence!$A$2:$G$400,2,FALSE())&amp;")",VLOOKUP(A209,AutoEvidence!$A$2:$G$400,2,FALSE())),""))</f>
        <v/>
      </c>
      <c r="T209" s="7" t="str">
        <f aca="false">IF(A209="","",IFERROR(VLOOKUP(A209,AutoEvidence!$A$2:$G$400,4,FALSE())&amp;"",""))</f>
        <v/>
      </c>
      <c r="AB209" s="13" t="str">
        <f aca="false">IF(M209="Gap",1,IF(M209="OK",0,""))</f>
        <v/>
      </c>
      <c r="AC209" s="16" t="str">
        <f aca="false">IF(P209&lt;&gt;"",VALUE(RIGHT(P209,1))*1000+ROW(),"")</f>
        <v/>
      </c>
      <c r="AD209" s="16" t="str">
        <f aca="false">IF(ISNUMBER(L209),MIN(L209,K209),"")</f>
        <v/>
      </c>
      <c r="AE209" s="16" t="str">
        <f aca="false">IF(AND(ISNUMBER(SEARCH(" PA "," "&amp;SUBSTITUTE($I209,","," ")&amp;" ")),ISNUMBER($L209)),$L209,"")</f>
        <v/>
      </c>
      <c r="AF209" s="16" t="str">
        <f aca="false">IF(AND(ISNUMBER(SEARCH(" PO "," "&amp;SUBSTITUTE($I209,","," ")&amp;" ")),ISNUMBER($L209)),$L209,"")</f>
        <v/>
      </c>
      <c r="AG209" s="16" t="str">
        <f aca="false">IF(AND(ISNUMBER(SEARCH(" MFA "," "&amp;SUBSTITUTE($I209,","," ")&amp;" ")),ISNUMBER($L209)),$L209,"")</f>
        <v/>
      </c>
      <c r="AH209" s="16" t="str">
        <f aca="false">IF(AND(ISNUMBER(SEARCH(" RAP "," "&amp;SUBSTITUTE($I209,","," ")&amp;" ")),ISNUMBER($L209)),$L209,"")</f>
        <v/>
      </c>
      <c r="AI209" s="16" t="str">
        <f aca="false">IF(AND(ISNUMBER(SEARCH(" AC "," "&amp;SUBSTITUTE($I209,","," ")&amp;" ")),ISNUMBER($L209)),$L209,"")</f>
        <v/>
      </c>
      <c r="AJ209" s="16" t="str">
        <f aca="false">IF(AND(ISNUMBER(SEARCH(" MAC "," "&amp;SUBSTITUTE($I209,","," ")&amp;" ")),ISNUMBER($L209)),$L209,"")</f>
        <v/>
      </c>
      <c r="AK209" s="16" t="str">
        <f aca="false">IF(AND(ISNUMBER(SEARCH(" UAH "," "&amp;SUBSTITUTE($I209,","," ")&amp;" ")),ISNUMBER($L209)),$L209,"")</f>
        <v/>
      </c>
      <c r="AL209" s="16" t="str">
        <f aca="false">IF(AND(ISNUMBER(SEARCH(" RB "," "&amp;SUBSTITUTE($I209,","," ")&amp;" ")),ISNUMBER($L209)),$L209,"")</f>
        <v/>
      </c>
    </row>
    <row r="210" customFormat="false" ht="15" hidden="false" customHeight="false" outlineLevel="0" collapsed="false">
      <c r="M210" s="13" t="str">
        <f aca="false">IF(ISNUMBER(L210),IF(L210&lt;K210,"Gap","OK"),IF(L210="N/A","N/A",""))</f>
        <v/>
      </c>
      <c r="P210" s="13" t="str">
        <f aca="false">IF(AND(M210="Gap",N210&lt;&gt;"",O210&lt;&gt;""),VLOOKUP(N210&amp;O210,Lists!$H$4:$I$12,2,FALSE()),"")</f>
        <v/>
      </c>
      <c r="Q210" s="13" t="str">
        <f aca="false">IF(AND(M210="Gap",O210="S",OR(N210="H",N210="M")),"Yes","")</f>
        <v/>
      </c>
      <c r="S210" s="14" t="str">
        <f aca="false">IF(A210="","",IFERROR(IF(OR(VLOOKUP(A210,AutoEvidence!$A$2:$G$400,2,FALSE())="Collected",VLOOKUP(A210,AutoEvidence!$A$2:$G$400,2,FALSE())="Partial"),VLOOKUP(A210,AutoEvidence!$A$2:$G$400,3,FALSE())&amp;" ("&amp;VLOOKUP(A210,AutoEvidence!$A$2:$G$400,2,FALSE())&amp;")",VLOOKUP(A210,AutoEvidence!$A$2:$G$400,2,FALSE())),""))</f>
        <v/>
      </c>
      <c r="T210" s="7" t="str">
        <f aca="false">IF(A210="","",IFERROR(VLOOKUP(A210,AutoEvidence!$A$2:$G$400,4,FALSE())&amp;"",""))</f>
        <v/>
      </c>
      <c r="AB210" s="13" t="str">
        <f aca="false">IF(M210="Gap",1,IF(M210="OK",0,""))</f>
        <v/>
      </c>
      <c r="AC210" s="16" t="str">
        <f aca="false">IF(P210&lt;&gt;"",VALUE(RIGHT(P210,1))*1000+ROW(),"")</f>
        <v/>
      </c>
      <c r="AD210" s="16" t="str">
        <f aca="false">IF(ISNUMBER(L210),MIN(L210,K210),"")</f>
        <v/>
      </c>
      <c r="AE210" s="16" t="str">
        <f aca="false">IF(AND(ISNUMBER(SEARCH(" PA "," "&amp;SUBSTITUTE($I210,","," ")&amp;" ")),ISNUMBER($L210)),$L210,"")</f>
        <v/>
      </c>
      <c r="AF210" s="16" t="str">
        <f aca="false">IF(AND(ISNUMBER(SEARCH(" PO "," "&amp;SUBSTITUTE($I210,","," ")&amp;" ")),ISNUMBER($L210)),$L210,"")</f>
        <v/>
      </c>
      <c r="AG210" s="16" t="str">
        <f aca="false">IF(AND(ISNUMBER(SEARCH(" MFA "," "&amp;SUBSTITUTE($I210,","," ")&amp;" ")),ISNUMBER($L210)),$L210,"")</f>
        <v/>
      </c>
      <c r="AH210" s="16" t="str">
        <f aca="false">IF(AND(ISNUMBER(SEARCH(" RAP "," "&amp;SUBSTITUTE($I210,","," ")&amp;" ")),ISNUMBER($L210)),$L210,"")</f>
        <v/>
      </c>
      <c r="AI210" s="16" t="str">
        <f aca="false">IF(AND(ISNUMBER(SEARCH(" AC "," "&amp;SUBSTITUTE($I210,","," ")&amp;" ")),ISNUMBER($L210)),$L210,"")</f>
        <v/>
      </c>
      <c r="AJ210" s="16" t="str">
        <f aca="false">IF(AND(ISNUMBER(SEARCH(" MAC "," "&amp;SUBSTITUTE($I210,","," ")&amp;" ")),ISNUMBER($L210)),$L210,"")</f>
        <v/>
      </c>
      <c r="AK210" s="16" t="str">
        <f aca="false">IF(AND(ISNUMBER(SEARCH(" UAH "," "&amp;SUBSTITUTE($I210,","," ")&amp;" ")),ISNUMBER($L210)),$L210,"")</f>
        <v/>
      </c>
      <c r="AL210" s="16" t="str">
        <f aca="false">IF(AND(ISNUMBER(SEARCH(" RB "," "&amp;SUBSTITUTE($I210,","," ")&amp;" ")),ISNUMBER($L210)),$L210,"")</f>
        <v/>
      </c>
    </row>
    <row r="211" customFormat="false" ht="15" hidden="false" customHeight="false" outlineLevel="0" collapsed="false">
      <c r="M211" s="13" t="str">
        <f aca="false">IF(ISNUMBER(L211),IF(L211&lt;K211,"Gap","OK"),IF(L211="N/A","N/A",""))</f>
        <v/>
      </c>
      <c r="P211" s="13" t="str">
        <f aca="false">IF(AND(M211="Gap",N211&lt;&gt;"",O211&lt;&gt;""),VLOOKUP(N211&amp;O211,Lists!$H$4:$I$12,2,FALSE()),"")</f>
        <v/>
      </c>
      <c r="Q211" s="13" t="str">
        <f aca="false">IF(AND(M211="Gap",O211="S",OR(N211="H",N211="M")),"Yes","")</f>
        <v/>
      </c>
      <c r="S211" s="14" t="str">
        <f aca="false">IF(A211="","",IFERROR(IF(OR(VLOOKUP(A211,AutoEvidence!$A$2:$G$400,2,FALSE())="Collected",VLOOKUP(A211,AutoEvidence!$A$2:$G$400,2,FALSE())="Partial"),VLOOKUP(A211,AutoEvidence!$A$2:$G$400,3,FALSE())&amp;" ("&amp;VLOOKUP(A211,AutoEvidence!$A$2:$G$400,2,FALSE())&amp;")",VLOOKUP(A211,AutoEvidence!$A$2:$G$400,2,FALSE())),""))</f>
        <v/>
      </c>
      <c r="T211" s="7" t="str">
        <f aca="false">IF(A211="","",IFERROR(VLOOKUP(A211,AutoEvidence!$A$2:$G$400,4,FALSE())&amp;"",""))</f>
        <v/>
      </c>
      <c r="AB211" s="13" t="str">
        <f aca="false">IF(M211="Gap",1,IF(M211="OK",0,""))</f>
        <v/>
      </c>
      <c r="AC211" s="16" t="str">
        <f aca="false">IF(P211&lt;&gt;"",VALUE(RIGHT(P211,1))*1000+ROW(),"")</f>
        <v/>
      </c>
      <c r="AD211" s="16" t="str">
        <f aca="false">IF(ISNUMBER(L211),MIN(L211,K211),"")</f>
        <v/>
      </c>
      <c r="AE211" s="16" t="str">
        <f aca="false">IF(AND(ISNUMBER(SEARCH(" PA "," "&amp;SUBSTITUTE($I211,","," ")&amp;" ")),ISNUMBER($L211)),$L211,"")</f>
        <v/>
      </c>
      <c r="AF211" s="16" t="str">
        <f aca="false">IF(AND(ISNUMBER(SEARCH(" PO "," "&amp;SUBSTITUTE($I211,","," ")&amp;" ")),ISNUMBER($L211)),$L211,"")</f>
        <v/>
      </c>
      <c r="AG211" s="16" t="str">
        <f aca="false">IF(AND(ISNUMBER(SEARCH(" MFA "," "&amp;SUBSTITUTE($I211,","," ")&amp;" ")),ISNUMBER($L211)),$L211,"")</f>
        <v/>
      </c>
      <c r="AH211" s="16" t="str">
        <f aca="false">IF(AND(ISNUMBER(SEARCH(" RAP "," "&amp;SUBSTITUTE($I211,","," ")&amp;" ")),ISNUMBER($L211)),$L211,"")</f>
        <v/>
      </c>
      <c r="AI211" s="16" t="str">
        <f aca="false">IF(AND(ISNUMBER(SEARCH(" AC "," "&amp;SUBSTITUTE($I211,","," ")&amp;" ")),ISNUMBER($L211)),$L211,"")</f>
        <v/>
      </c>
      <c r="AJ211" s="16" t="str">
        <f aca="false">IF(AND(ISNUMBER(SEARCH(" MAC "," "&amp;SUBSTITUTE($I211,","," ")&amp;" ")),ISNUMBER($L211)),$L211,"")</f>
        <v/>
      </c>
      <c r="AK211" s="16" t="str">
        <f aca="false">IF(AND(ISNUMBER(SEARCH(" UAH "," "&amp;SUBSTITUTE($I211,","," ")&amp;" ")),ISNUMBER($L211)),$L211,"")</f>
        <v/>
      </c>
      <c r="AL211" s="16" t="str">
        <f aca="false">IF(AND(ISNUMBER(SEARCH(" RB "," "&amp;SUBSTITUTE($I211,","," ")&amp;" ")),ISNUMBER($L211)),$L211,"")</f>
        <v/>
      </c>
    </row>
    <row r="212" customFormat="false" ht="15" hidden="false" customHeight="false" outlineLevel="0" collapsed="false">
      <c r="M212" s="13" t="str">
        <f aca="false">IF(ISNUMBER(L212),IF(L212&lt;K212,"Gap","OK"),IF(L212="N/A","N/A",""))</f>
        <v/>
      </c>
      <c r="P212" s="13" t="str">
        <f aca="false">IF(AND(M212="Gap",N212&lt;&gt;"",O212&lt;&gt;""),VLOOKUP(N212&amp;O212,Lists!$H$4:$I$12,2,FALSE()),"")</f>
        <v/>
      </c>
      <c r="Q212" s="13" t="str">
        <f aca="false">IF(AND(M212="Gap",O212="S",OR(N212="H",N212="M")),"Yes","")</f>
        <v/>
      </c>
      <c r="S212" s="14" t="str">
        <f aca="false">IF(A212="","",IFERROR(IF(OR(VLOOKUP(A212,AutoEvidence!$A$2:$G$400,2,FALSE())="Collected",VLOOKUP(A212,AutoEvidence!$A$2:$G$400,2,FALSE())="Partial"),VLOOKUP(A212,AutoEvidence!$A$2:$G$400,3,FALSE())&amp;" ("&amp;VLOOKUP(A212,AutoEvidence!$A$2:$G$400,2,FALSE())&amp;")",VLOOKUP(A212,AutoEvidence!$A$2:$G$400,2,FALSE())),""))</f>
        <v/>
      </c>
      <c r="T212" s="7" t="str">
        <f aca="false">IF(A212="","",IFERROR(VLOOKUP(A212,AutoEvidence!$A$2:$G$400,4,FALSE())&amp;"",""))</f>
        <v/>
      </c>
      <c r="AB212" s="13" t="str">
        <f aca="false">IF(M212="Gap",1,IF(M212="OK",0,""))</f>
        <v/>
      </c>
      <c r="AC212" s="16" t="str">
        <f aca="false">IF(P212&lt;&gt;"",VALUE(RIGHT(P212,1))*1000+ROW(),"")</f>
        <v/>
      </c>
      <c r="AD212" s="16" t="str">
        <f aca="false">IF(ISNUMBER(L212),MIN(L212,K212),"")</f>
        <v/>
      </c>
      <c r="AE212" s="16" t="str">
        <f aca="false">IF(AND(ISNUMBER(SEARCH(" PA "," "&amp;SUBSTITUTE($I212,","," ")&amp;" ")),ISNUMBER($L212)),$L212,"")</f>
        <v/>
      </c>
      <c r="AF212" s="16" t="str">
        <f aca="false">IF(AND(ISNUMBER(SEARCH(" PO "," "&amp;SUBSTITUTE($I212,","," ")&amp;" ")),ISNUMBER($L212)),$L212,"")</f>
        <v/>
      </c>
      <c r="AG212" s="16" t="str">
        <f aca="false">IF(AND(ISNUMBER(SEARCH(" MFA "," "&amp;SUBSTITUTE($I212,","," ")&amp;" ")),ISNUMBER($L212)),$L212,"")</f>
        <v/>
      </c>
      <c r="AH212" s="16" t="str">
        <f aca="false">IF(AND(ISNUMBER(SEARCH(" RAP "," "&amp;SUBSTITUTE($I212,","," ")&amp;" ")),ISNUMBER($L212)),$L212,"")</f>
        <v/>
      </c>
      <c r="AI212" s="16" t="str">
        <f aca="false">IF(AND(ISNUMBER(SEARCH(" AC "," "&amp;SUBSTITUTE($I212,","," ")&amp;" ")),ISNUMBER($L212)),$L212,"")</f>
        <v/>
      </c>
      <c r="AJ212" s="16" t="str">
        <f aca="false">IF(AND(ISNUMBER(SEARCH(" MAC "," "&amp;SUBSTITUTE($I212,","," ")&amp;" ")),ISNUMBER($L212)),$L212,"")</f>
        <v/>
      </c>
      <c r="AK212" s="16" t="str">
        <f aca="false">IF(AND(ISNUMBER(SEARCH(" UAH "," "&amp;SUBSTITUTE($I212,","," ")&amp;" ")),ISNUMBER($L212)),$L212,"")</f>
        <v/>
      </c>
      <c r="AL212" s="16" t="str">
        <f aca="false">IF(AND(ISNUMBER(SEARCH(" RB "," "&amp;SUBSTITUTE($I212,","," ")&amp;" ")),ISNUMBER($L212)),$L212,"")</f>
        <v/>
      </c>
    </row>
    <row r="213" customFormat="false" ht="15" hidden="false" customHeight="false" outlineLevel="0" collapsed="false">
      <c r="M213" s="13" t="str">
        <f aca="false">IF(ISNUMBER(L213),IF(L213&lt;K213,"Gap","OK"),IF(L213="N/A","N/A",""))</f>
        <v/>
      </c>
      <c r="P213" s="13" t="str">
        <f aca="false">IF(AND(M213="Gap",N213&lt;&gt;"",O213&lt;&gt;""),VLOOKUP(N213&amp;O213,Lists!$H$4:$I$12,2,FALSE()),"")</f>
        <v/>
      </c>
      <c r="Q213" s="13" t="str">
        <f aca="false">IF(AND(M213="Gap",O213="S",OR(N213="H",N213="M")),"Yes","")</f>
        <v/>
      </c>
      <c r="S213" s="14" t="str">
        <f aca="false">IF(A213="","",IFERROR(IF(OR(VLOOKUP(A213,AutoEvidence!$A$2:$G$400,2,FALSE())="Collected",VLOOKUP(A213,AutoEvidence!$A$2:$G$400,2,FALSE())="Partial"),VLOOKUP(A213,AutoEvidence!$A$2:$G$400,3,FALSE())&amp;" ("&amp;VLOOKUP(A213,AutoEvidence!$A$2:$G$400,2,FALSE())&amp;")",VLOOKUP(A213,AutoEvidence!$A$2:$G$400,2,FALSE())),""))</f>
        <v/>
      </c>
      <c r="T213" s="7" t="str">
        <f aca="false">IF(A213="","",IFERROR(VLOOKUP(A213,AutoEvidence!$A$2:$G$400,4,FALSE())&amp;"",""))</f>
        <v/>
      </c>
      <c r="AB213" s="13" t="str">
        <f aca="false">IF(M213="Gap",1,IF(M213="OK",0,""))</f>
        <v/>
      </c>
      <c r="AC213" s="16" t="str">
        <f aca="false">IF(P213&lt;&gt;"",VALUE(RIGHT(P213,1))*1000+ROW(),"")</f>
        <v/>
      </c>
      <c r="AD213" s="16" t="str">
        <f aca="false">IF(ISNUMBER(L213),MIN(L213,K213),"")</f>
        <v/>
      </c>
      <c r="AE213" s="16" t="str">
        <f aca="false">IF(AND(ISNUMBER(SEARCH(" PA "," "&amp;SUBSTITUTE($I213,","," ")&amp;" ")),ISNUMBER($L213)),$L213,"")</f>
        <v/>
      </c>
      <c r="AF213" s="16" t="str">
        <f aca="false">IF(AND(ISNUMBER(SEARCH(" PO "," "&amp;SUBSTITUTE($I213,","," ")&amp;" ")),ISNUMBER($L213)),$L213,"")</f>
        <v/>
      </c>
      <c r="AG213" s="16" t="str">
        <f aca="false">IF(AND(ISNUMBER(SEARCH(" MFA "," "&amp;SUBSTITUTE($I213,","," ")&amp;" ")),ISNUMBER($L213)),$L213,"")</f>
        <v/>
      </c>
      <c r="AH213" s="16" t="str">
        <f aca="false">IF(AND(ISNUMBER(SEARCH(" RAP "," "&amp;SUBSTITUTE($I213,","," ")&amp;" ")),ISNUMBER($L213)),$L213,"")</f>
        <v/>
      </c>
      <c r="AI213" s="16" t="str">
        <f aca="false">IF(AND(ISNUMBER(SEARCH(" AC "," "&amp;SUBSTITUTE($I213,","," ")&amp;" ")),ISNUMBER($L213)),$L213,"")</f>
        <v/>
      </c>
      <c r="AJ213" s="16" t="str">
        <f aca="false">IF(AND(ISNUMBER(SEARCH(" MAC "," "&amp;SUBSTITUTE($I213,","," ")&amp;" ")),ISNUMBER($L213)),$L213,"")</f>
        <v/>
      </c>
      <c r="AK213" s="16" t="str">
        <f aca="false">IF(AND(ISNUMBER(SEARCH(" UAH "," "&amp;SUBSTITUTE($I213,","," ")&amp;" ")),ISNUMBER($L213)),$L213,"")</f>
        <v/>
      </c>
      <c r="AL213" s="16" t="str">
        <f aca="false">IF(AND(ISNUMBER(SEARCH(" RB "," "&amp;SUBSTITUTE($I213,","," ")&amp;" ")),ISNUMBER($L213)),$L213,"")</f>
        <v/>
      </c>
    </row>
    <row r="214" customFormat="false" ht="15" hidden="false" customHeight="false" outlineLevel="0" collapsed="false">
      <c r="M214" s="13" t="str">
        <f aca="false">IF(ISNUMBER(L214),IF(L214&lt;K214,"Gap","OK"),IF(L214="N/A","N/A",""))</f>
        <v/>
      </c>
      <c r="P214" s="13" t="str">
        <f aca="false">IF(AND(M214="Gap",N214&lt;&gt;"",O214&lt;&gt;""),VLOOKUP(N214&amp;O214,Lists!$H$4:$I$12,2,FALSE()),"")</f>
        <v/>
      </c>
      <c r="Q214" s="13" t="str">
        <f aca="false">IF(AND(M214="Gap",O214="S",OR(N214="H",N214="M")),"Yes","")</f>
        <v/>
      </c>
      <c r="S214" s="14" t="str">
        <f aca="false">IF(A214="","",IFERROR(IF(OR(VLOOKUP(A214,AutoEvidence!$A$2:$G$400,2,FALSE())="Collected",VLOOKUP(A214,AutoEvidence!$A$2:$G$400,2,FALSE())="Partial"),VLOOKUP(A214,AutoEvidence!$A$2:$G$400,3,FALSE())&amp;" ("&amp;VLOOKUP(A214,AutoEvidence!$A$2:$G$400,2,FALSE())&amp;")",VLOOKUP(A214,AutoEvidence!$A$2:$G$400,2,FALSE())),""))</f>
        <v/>
      </c>
      <c r="T214" s="7" t="str">
        <f aca="false">IF(A214="","",IFERROR(VLOOKUP(A214,AutoEvidence!$A$2:$G$400,4,FALSE())&amp;"",""))</f>
        <v/>
      </c>
      <c r="AB214" s="13" t="str">
        <f aca="false">IF(M214="Gap",1,IF(M214="OK",0,""))</f>
        <v/>
      </c>
      <c r="AC214" s="16" t="str">
        <f aca="false">IF(P214&lt;&gt;"",VALUE(RIGHT(P214,1))*1000+ROW(),"")</f>
        <v/>
      </c>
      <c r="AD214" s="16" t="str">
        <f aca="false">IF(ISNUMBER(L214),MIN(L214,K214),"")</f>
        <v/>
      </c>
      <c r="AE214" s="16" t="str">
        <f aca="false">IF(AND(ISNUMBER(SEARCH(" PA "," "&amp;SUBSTITUTE($I214,","," ")&amp;" ")),ISNUMBER($L214)),$L214,"")</f>
        <v/>
      </c>
      <c r="AF214" s="16" t="str">
        <f aca="false">IF(AND(ISNUMBER(SEARCH(" PO "," "&amp;SUBSTITUTE($I214,","," ")&amp;" ")),ISNUMBER($L214)),$L214,"")</f>
        <v/>
      </c>
      <c r="AG214" s="16" t="str">
        <f aca="false">IF(AND(ISNUMBER(SEARCH(" MFA "," "&amp;SUBSTITUTE($I214,","," ")&amp;" ")),ISNUMBER($L214)),$L214,"")</f>
        <v/>
      </c>
      <c r="AH214" s="16" t="str">
        <f aca="false">IF(AND(ISNUMBER(SEARCH(" RAP "," "&amp;SUBSTITUTE($I214,","," ")&amp;" ")),ISNUMBER($L214)),$L214,"")</f>
        <v/>
      </c>
      <c r="AI214" s="16" t="str">
        <f aca="false">IF(AND(ISNUMBER(SEARCH(" AC "," "&amp;SUBSTITUTE($I214,","," ")&amp;" ")),ISNUMBER($L214)),$L214,"")</f>
        <v/>
      </c>
      <c r="AJ214" s="16" t="str">
        <f aca="false">IF(AND(ISNUMBER(SEARCH(" MAC "," "&amp;SUBSTITUTE($I214,","," ")&amp;" ")),ISNUMBER($L214)),$L214,"")</f>
        <v/>
      </c>
      <c r="AK214" s="16" t="str">
        <f aca="false">IF(AND(ISNUMBER(SEARCH(" UAH "," "&amp;SUBSTITUTE($I214,","," ")&amp;" ")),ISNUMBER($L214)),$L214,"")</f>
        <v/>
      </c>
      <c r="AL214" s="16" t="str">
        <f aca="false">IF(AND(ISNUMBER(SEARCH(" RB "," "&amp;SUBSTITUTE($I214,","," ")&amp;" ")),ISNUMBER($L214)),$L214,"")</f>
        <v/>
      </c>
    </row>
    <row r="215" customFormat="false" ht="15" hidden="false" customHeight="false" outlineLevel="0" collapsed="false">
      <c r="M215" s="13" t="str">
        <f aca="false">IF(ISNUMBER(L215),IF(L215&lt;K215,"Gap","OK"),IF(L215="N/A","N/A",""))</f>
        <v/>
      </c>
      <c r="P215" s="13" t="str">
        <f aca="false">IF(AND(M215="Gap",N215&lt;&gt;"",O215&lt;&gt;""),VLOOKUP(N215&amp;O215,Lists!$H$4:$I$12,2,FALSE()),"")</f>
        <v/>
      </c>
      <c r="Q215" s="13" t="str">
        <f aca="false">IF(AND(M215="Gap",O215="S",OR(N215="H",N215="M")),"Yes","")</f>
        <v/>
      </c>
      <c r="S215" s="14" t="str">
        <f aca="false">IF(A215="","",IFERROR(IF(OR(VLOOKUP(A215,AutoEvidence!$A$2:$G$400,2,FALSE())="Collected",VLOOKUP(A215,AutoEvidence!$A$2:$G$400,2,FALSE())="Partial"),VLOOKUP(A215,AutoEvidence!$A$2:$G$400,3,FALSE())&amp;" ("&amp;VLOOKUP(A215,AutoEvidence!$A$2:$G$400,2,FALSE())&amp;")",VLOOKUP(A215,AutoEvidence!$A$2:$G$400,2,FALSE())),""))</f>
        <v/>
      </c>
      <c r="T215" s="7" t="str">
        <f aca="false">IF(A215="","",IFERROR(VLOOKUP(A215,AutoEvidence!$A$2:$G$400,4,FALSE())&amp;"",""))</f>
        <v/>
      </c>
      <c r="AB215" s="13" t="str">
        <f aca="false">IF(M215="Gap",1,IF(M215="OK",0,""))</f>
        <v/>
      </c>
      <c r="AC215" s="16" t="str">
        <f aca="false">IF(P215&lt;&gt;"",VALUE(RIGHT(P215,1))*1000+ROW(),"")</f>
        <v/>
      </c>
      <c r="AD215" s="16" t="str">
        <f aca="false">IF(ISNUMBER(L215),MIN(L215,K215),"")</f>
        <v/>
      </c>
      <c r="AE215" s="16" t="str">
        <f aca="false">IF(AND(ISNUMBER(SEARCH(" PA "," "&amp;SUBSTITUTE($I215,","," ")&amp;" ")),ISNUMBER($L215)),$L215,"")</f>
        <v/>
      </c>
      <c r="AF215" s="16" t="str">
        <f aca="false">IF(AND(ISNUMBER(SEARCH(" PO "," "&amp;SUBSTITUTE($I215,","," ")&amp;" ")),ISNUMBER($L215)),$L215,"")</f>
        <v/>
      </c>
      <c r="AG215" s="16" t="str">
        <f aca="false">IF(AND(ISNUMBER(SEARCH(" MFA "," "&amp;SUBSTITUTE($I215,","," ")&amp;" ")),ISNUMBER($L215)),$L215,"")</f>
        <v/>
      </c>
      <c r="AH215" s="16" t="str">
        <f aca="false">IF(AND(ISNUMBER(SEARCH(" RAP "," "&amp;SUBSTITUTE($I215,","," ")&amp;" ")),ISNUMBER($L215)),$L215,"")</f>
        <v/>
      </c>
      <c r="AI215" s="16" t="str">
        <f aca="false">IF(AND(ISNUMBER(SEARCH(" AC "," "&amp;SUBSTITUTE($I215,","," ")&amp;" ")),ISNUMBER($L215)),$L215,"")</f>
        <v/>
      </c>
      <c r="AJ215" s="16" t="str">
        <f aca="false">IF(AND(ISNUMBER(SEARCH(" MAC "," "&amp;SUBSTITUTE($I215,","," ")&amp;" ")),ISNUMBER($L215)),$L215,"")</f>
        <v/>
      </c>
      <c r="AK215" s="16" t="str">
        <f aca="false">IF(AND(ISNUMBER(SEARCH(" UAH "," "&amp;SUBSTITUTE($I215,","," ")&amp;" ")),ISNUMBER($L215)),$L215,"")</f>
        <v/>
      </c>
      <c r="AL215" s="16" t="str">
        <f aca="false">IF(AND(ISNUMBER(SEARCH(" RB "," "&amp;SUBSTITUTE($I215,","," ")&amp;" ")),ISNUMBER($L215)),$L215,"")</f>
        <v/>
      </c>
    </row>
    <row r="216" customFormat="false" ht="15" hidden="false" customHeight="false" outlineLevel="0" collapsed="false">
      <c r="M216" s="13" t="str">
        <f aca="false">IF(ISNUMBER(L216),IF(L216&lt;K216,"Gap","OK"),IF(L216="N/A","N/A",""))</f>
        <v/>
      </c>
      <c r="P216" s="13" t="str">
        <f aca="false">IF(AND(M216="Gap",N216&lt;&gt;"",O216&lt;&gt;""),VLOOKUP(N216&amp;O216,Lists!$H$4:$I$12,2,FALSE()),"")</f>
        <v/>
      </c>
      <c r="Q216" s="13" t="str">
        <f aca="false">IF(AND(M216="Gap",O216="S",OR(N216="H",N216="M")),"Yes","")</f>
        <v/>
      </c>
      <c r="S216" s="14" t="str">
        <f aca="false">IF(A216="","",IFERROR(IF(OR(VLOOKUP(A216,AutoEvidence!$A$2:$G$400,2,FALSE())="Collected",VLOOKUP(A216,AutoEvidence!$A$2:$G$400,2,FALSE())="Partial"),VLOOKUP(A216,AutoEvidence!$A$2:$G$400,3,FALSE())&amp;" ("&amp;VLOOKUP(A216,AutoEvidence!$A$2:$G$400,2,FALSE())&amp;")",VLOOKUP(A216,AutoEvidence!$A$2:$G$400,2,FALSE())),""))</f>
        <v/>
      </c>
      <c r="T216" s="7" t="str">
        <f aca="false">IF(A216="","",IFERROR(VLOOKUP(A216,AutoEvidence!$A$2:$G$400,4,FALSE())&amp;"",""))</f>
        <v/>
      </c>
      <c r="AB216" s="13" t="str">
        <f aca="false">IF(M216="Gap",1,IF(M216="OK",0,""))</f>
        <v/>
      </c>
      <c r="AC216" s="16" t="str">
        <f aca="false">IF(P216&lt;&gt;"",VALUE(RIGHT(P216,1))*1000+ROW(),"")</f>
        <v/>
      </c>
      <c r="AD216" s="16" t="str">
        <f aca="false">IF(ISNUMBER(L216),MIN(L216,K216),"")</f>
        <v/>
      </c>
      <c r="AE216" s="16" t="str">
        <f aca="false">IF(AND(ISNUMBER(SEARCH(" PA "," "&amp;SUBSTITUTE($I216,","," ")&amp;" ")),ISNUMBER($L216)),$L216,"")</f>
        <v/>
      </c>
      <c r="AF216" s="16" t="str">
        <f aca="false">IF(AND(ISNUMBER(SEARCH(" PO "," "&amp;SUBSTITUTE($I216,","," ")&amp;" ")),ISNUMBER($L216)),$L216,"")</f>
        <v/>
      </c>
      <c r="AG216" s="16" t="str">
        <f aca="false">IF(AND(ISNUMBER(SEARCH(" MFA "," "&amp;SUBSTITUTE($I216,","," ")&amp;" ")),ISNUMBER($L216)),$L216,"")</f>
        <v/>
      </c>
      <c r="AH216" s="16" t="str">
        <f aca="false">IF(AND(ISNUMBER(SEARCH(" RAP "," "&amp;SUBSTITUTE($I216,","," ")&amp;" ")),ISNUMBER($L216)),$L216,"")</f>
        <v/>
      </c>
      <c r="AI216" s="16" t="str">
        <f aca="false">IF(AND(ISNUMBER(SEARCH(" AC "," "&amp;SUBSTITUTE($I216,","," ")&amp;" ")),ISNUMBER($L216)),$L216,"")</f>
        <v/>
      </c>
      <c r="AJ216" s="16" t="str">
        <f aca="false">IF(AND(ISNUMBER(SEARCH(" MAC "," "&amp;SUBSTITUTE($I216,","," ")&amp;" ")),ISNUMBER($L216)),$L216,"")</f>
        <v/>
      </c>
      <c r="AK216" s="16" t="str">
        <f aca="false">IF(AND(ISNUMBER(SEARCH(" UAH "," "&amp;SUBSTITUTE($I216,","," ")&amp;" ")),ISNUMBER($L216)),$L216,"")</f>
        <v/>
      </c>
      <c r="AL216" s="16" t="str">
        <f aca="false">IF(AND(ISNUMBER(SEARCH(" RB "," "&amp;SUBSTITUTE($I216,","," ")&amp;" ")),ISNUMBER($L216)),$L216,"")</f>
        <v/>
      </c>
    </row>
    <row r="217" customFormat="false" ht="15" hidden="false" customHeight="false" outlineLevel="0" collapsed="false">
      <c r="M217" s="13" t="str">
        <f aca="false">IF(ISNUMBER(L217),IF(L217&lt;K217,"Gap","OK"),IF(L217="N/A","N/A",""))</f>
        <v/>
      </c>
      <c r="P217" s="13" t="str">
        <f aca="false">IF(AND(M217="Gap",N217&lt;&gt;"",O217&lt;&gt;""),VLOOKUP(N217&amp;O217,Lists!$H$4:$I$12,2,FALSE()),"")</f>
        <v/>
      </c>
      <c r="Q217" s="13" t="str">
        <f aca="false">IF(AND(M217="Gap",O217="S",OR(N217="H",N217="M")),"Yes","")</f>
        <v/>
      </c>
      <c r="S217" s="14" t="str">
        <f aca="false">IF(A217="","",IFERROR(IF(OR(VLOOKUP(A217,AutoEvidence!$A$2:$G$400,2,FALSE())="Collected",VLOOKUP(A217,AutoEvidence!$A$2:$G$400,2,FALSE())="Partial"),VLOOKUP(A217,AutoEvidence!$A$2:$G$400,3,FALSE())&amp;" ("&amp;VLOOKUP(A217,AutoEvidence!$A$2:$G$400,2,FALSE())&amp;")",VLOOKUP(A217,AutoEvidence!$A$2:$G$400,2,FALSE())),""))</f>
        <v/>
      </c>
      <c r="T217" s="7" t="str">
        <f aca="false">IF(A217="","",IFERROR(VLOOKUP(A217,AutoEvidence!$A$2:$G$400,4,FALSE())&amp;"",""))</f>
        <v/>
      </c>
      <c r="AB217" s="13" t="str">
        <f aca="false">IF(M217="Gap",1,IF(M217="OK",0,""))</f>
        <v/>
      </c>
      <c r="AC217" s="16" t="str">
        <f aca="false">IF(P217&lt;&gt;"",VALUE(RIGHT(P217,1))*1000+ROW(),"")</f>
        <v/>
      </c>
      <c r="AD217" s="16" t="str">
        <f aca="false">IF(ISNUMBER(L217),MIN(L217,K217),"")</f>
        <v/>
      </c>
      <c r="AE217" s="16" t="str">
        <f aca="false">IF(AND(ISNUMBER(SEARCH(" PA "," "&amp;SUBSTITUTE($I217,","," ")&amp;" ")),ISNUMBER($L217)),$L217,"")</f>
        <v/>
      </c>
      <c r="AF217" s="16" t="str">
        <f aca="false">IF(AND(ISNUMBER(SEARCH(" PO "," "&amp;SUBSTITUTE($I217,","," ")&amp;" ")),ISNUMBER($L217)),$L217,"")</f>
        <v/>
      </c>
      <c r="AG217" s="16" t="str">
        <f aca="false">IF(AND(ISNUMBER(SEARCH(" MFA "," "&amp;SUBSTITUTE($I217,","," ")&amp;" ")),ISNUMBER($L217)),$L217,"")</f>
        <v/>
      </c>
      <c r="AH217" s="16" t="str">
        <f aca="false">IF(AND(ISNUMBER(SEARCH(" RAP "," "&amp;SUBSTITUTE($I217,","," ")&amp;" ")),ISNUMBER($L217)),$L217,"")</f>
        <v/>
      </c>
      <c r="AI217" s="16" t="str">
        <f aca="false">IF(AND(ISNUMBER(SEARCH(" AC "," "&amp;SUBSTITUTE($I217,","," ")&amp;" ")),ISNUMBER($L217)),$L217,"")</f>
        <v/>
      </c>
      <c r="AJ217" s="16" t="str">
        <f aca="false">IF(AND(ISNUMBER(SEARCH(" MAC "," "&amp;SUBSTITUTE($I217,","," ")&amp;" ")),ISNUMBER($L217)),$L217,"")</f>
        <v/>
      </c>
      <c r="AK217" s="16" t="str">
        <f aca="false">IF(AND(ISNUMBER(SEARCH(" UAH "," "&amp;SUBSTITUTE($I217,","," ")&amp;" ")),ISNUMBER($L217)),$L217,"")</f>
        <v/>
      </c>
      <c r="AL217" s="16" t="str">
        <f aca="false">IF(AND(ISNUMBER(SEARCH(" RB "," "&amp;SUBSTITUTE($I217,","," ")&amp;" ")),ISNUMBER($L217)),$L217,"")</f>
        <v/>
      </c>
    </row>
    <row r="218" customFormat="false" ht="15" hidden="false" customHeight="false" outlineLevel="0" collapsed="false">
      <c r="M218" s="13" t="str">
        <f aca="false">IF(ISNUMBER(L218),IF(L218&lt;K218,"Gap","OK"),IF(L218="N/A","N/A",""))</f>
        <v/>
      </c>
      <c r="P218" s="13" t="str">
        <f aca="false">IF(AND(M218="Gap",N218&lt;&gt;"",O218&lt;&gt;""),VLOOKUP(N218&amp;O218,Lists!$H$4:$I$12,2,FALSE()),"")</f>
        <v/>
      </c>
      <c r="Q218" s="13" t="str">
        <f aca="false">IF(AND(M218="Gap",O218="S",OR(N218="H",N218="M")),"Yes","")</f>
        <v/>
      </c>
      <c r="S218" s="14" t="str">
        <f aca="false">IF(A218="","",IFERROR(IF(OR(VLOOKUP(A218,AutoEvidence!$A$2:$G$400,2,FALSE())="Collected",VLOOKUP(A218,AutoEvidence!$A$2:$G$400,2,FALSE())="Partial"),VLOOKUP(A218,AutoEvidence!$A$2:$G$400,3,FALSE())&amp;" ("&amp;VLOOKUP(A218,AutoEvidence!$A$2:$G$400,2,FALSE())&amp;")",VLOOKUP(A218,AutoEvidence!$A$2:$G$400,2,FALSE())),""))</f>
        <v/>
      </c>
      <c r="T218" s="7" t="str">
        <f aca="false">IF(A218="","",IFERROR(VLOOKUP(A218,AutoEvidence!$A$2:$G$400,4,FALSE())&amp;"",""))</f>
        <v/>
      </c>
      <c r="AB218" s="13" t="str">
        <f aca="false">IF(M218="Gap",1,IF(M218="OK",0,""))</f>
        <v/>
      </c>
      <c r="AC218" s="16" t="str">
        <f aca="false">IF(P218&lt;&gt;"",VALUE(RIGHT(P218,1))*1000+ROW(),"")</f>
        <v/>
      </c>
      <c r="AD218" s="16" t="str">
        <f aca="false">IF(ISNUMBER(L218),MIN(L218,K218),"")</f>
        <v/>
      </c>
      <c r="AE218" s="16" t="str">
        <f aca="false">IF(AND(ISNUMBER(SEARCH(" PA "," "&amp;SUBSTITUTE($I218,","," ")&amp;" ")),ISNUMBER($L218)),$L218,"")</f>
        <v/>
      </c>
      <c r="AF218" s="16" t="str">
        <f aca="false">IF(AND(ISNUMBER(SEARCH(" PO "," "&amp;SUBSTITUTE($I218,","," ")&amp;" ")),ISNUMBER($L218)),$L218,"")</f>
        <v/>
      </c>
      <c r="AG218" s="16" t="str">
        <f aca="false">IF(AND(ISNUMBER(SEARCH(" MFA "," "&amp;SUBSTITUTE($I218,","," ")&amp;" ")),ISNUMBER($L218)),$L218,"")</f>
        <v/>
      </c>
      <c r="AH218" s="16" t="str">
        <f aca="false">IF(AND(ISNUMBER(SEARCH(" RAP "," "&amp;SUBSTITUTE($I218,","," ")&amp;" ")),ISNUMBER($L218)),$L218,"")</f>
        <v/>
      </c>
      <c r="AI218" s="16" t="str">
        <f aca="false">IF(AND(ISNUMBER(SEARCH(" AC "," "&amp;SUBSTITUTE($I218,","," ")&amp;" ")),ISNUMBER($L218)),$L218,"")</f>
        <v/>
      </c>
      <c r="AJ218" s="16" t="str">
        <f aca="false">IF(AND(ISNUMBER(SEARCH(" MAC "," "&amp;SUBSTITUTE($I218,","," ")&amp;" ")),ISNUMBER($L218)),$L218,"")</f>
        <v/>
      </c>
      <c r="AK218" s="16" t="str">
        <f aca="false">IF(AND(ISNUMBER(SEARCH(" UAH "," "&amp;SUBSTITUTE($I218,","," ")&amp;" ")),ISNUMBER($L218)),$L218,"")</f>
        <v/>
      </c>
      <c r="AL218" s="16" t="str">
        <f aca="false">IF(AND(ISNUMBER(SEARCH(" RB "," "&amp;SUBSTITUTE($I218,","," ")&amp;" ")),ISNUMBER($L218)),$L218,"")</f>
        <v/>
      </c>
    </row>
    <row r="219" customFormat="false" ht="15" hidden="false" customHeight="false" outlineLevel="0" collapsed="false">
      <c r="M219" s="13" t="str">
        <f aca="false">IF(ISNUMBER(L219),IF(L219&lt;K219,"Gap","OK"),IF(L219="N/A","N/A",""))</f>
        <v/>
      </c>
      <c r="P219" s="13" t="str">
        <f aca="false">IF(AND(M219="Gap",N219&lt;&gt;"",O219&lt;&gt;""),VLOOKUP(N219&amp;O219,Lists!$H$4:$I$12,2,FALSE()),"")</f>
        <v/>
      </c>
      <c r="Q219" s="13" t="str">
        <f aca="false">IF(AND(M219="Gap",O219="S",OR(N219="H",N219="M")),"Yes","")</f>
        <v/>
      </c>
      <c r="S219" s="14" t="str">
        <f aca="false">IF(A219="","",IFERROR(IF(OR(VLOOKUP(A219,AutoEvidence!$A$2:$G$400,2,FALSE())="Collected",VLOOKUP(A219,AutoEvidence!$A$2:$G$400,2,FALSE())="Partial"),VLOOKUP(A219,AutoEvidence!$A$2:$G$400,3,FALSE())&amp;" ("&amp;VLOOKUP(A219,AutoEvidence!$A$2:$G$400,2,FALSE())&amp;")",VLOOKUP(A219,AutoEvidence!$A$2:$G$400,2,FALSE())),""))</f>
        <v/>
      </c>
      <c r="T219" s="7" t="str">
        <f aca="false">IF(A219="","",IFERROR(VLOOKUP(A219,AutoEvidence!$A$2:$G$400,4,FALSE())&amp;"",""))</f>
        <v/>
      </c>
      <c r="AB219" s="13" t="str">
        <f aca="false">IF(M219="Gap",1,IF(M219="OK",0,""))</f>
        <v/>
      </c>
      <c r="AC219" s="16" t="str">
        <f aca="false">IF(P219&lt;&gt;"",VALUE(RIGHT(P219,1))*1000+ROW(),"")</f>
        <v/>
      </c>
      <c r="AD219" s="16" t="str">
        <f aca="false">IF(ISNUMBER(L219),MIN(L219,K219),"")</f>
        <v/>
      </c>
      <c r="AE219" s="16" t="str">
        <f aca="false">IF(AND(ISNUMBER(SEARCH(" PA "," "&amp;SUBSTITUTE($I219,","," ")&amp;" ")),ISNUMBER($L219)),$L219,"")</f>
        <v/>
      </c>
      <c r="AF219" s="16" t="str">
        <f aca="false">IF(AND(ISNUMBER(SEARCH(" PO "," "&amp;SUBSTITUTE($I219,","," ")&amp;" ")),ISNUMBER($L219)),$L219,"")</f>
        <v/>
      </c>
      <c r="AG219" s="16" t="str">
        <f aca="false">IF(AND(ISNUMBER(SEARCH(" MFA "," "&amp;SUBSTITUTE($I219,","," ")&amp;" ")),ISNUMBER($L219)),$L219,"")</f>
        <v/>
      </c>
      <c r="AH219" s="16" t="str">
        <f aca="false">IF(AND(ISNUMBER(SEARCH(" RAP "," "&amp;SUBSTITUTE($I219,","," ")&amp;" ")),ISNUMBER($L219)),$L219,"")</f>
        <v/>
      </c>
      <c r="AI219" s="16" t="str">
        <f aca="false">IF(AND(ISNUMBER(SEARCH(" AC "," "&amp;SUBSTITUTE($I219,","," ")&amp;" ")),ISNUMBER($L219)),$L219,"")</f>
        <v/>
      </c>
      <c r="AJ219" s="16" t="str">
        <f aca="false">IF(AND(ISNUMBER(SEARCH(" MAC "," "&amp;SUBSTITUTE($I219,","," ")&amp;" ")),ISNUMBER($L219)),$L219,"")</f>
        <v/>
      </c>
      <c r="AK219" s="16" t="str">
        <f aca="false">IF(AND(ISNUMBER(SEARCH(" UAH "," "&amp;SUBSTITUTE($I219,","," ")&amp;" ")),ISNUMBER($L219)),$L219,"")</f>
        <v/>
      </c>
      <c r="AL219" s="16" t="str">
        <f aca="false">IF(AND(ISNUMBER(SEARCH(" RB "," "&amp;SUBSTITUTE($I219,","," ")&amp;" ")),ISNUMBER($L219)),$L219,"")</f>
        <v/>
      </c>
    </row>
    <row r="220" customFormat="false" ht="15" hidden="false" customHeight="false" outlineLevel="0" collapsed="false">
      <c r="M220" s="13" t="str">
        <f aca="false">IF(ISNUMBER(L220),IF(L220&lt;K220,"Gap","OK"),IF(L220="N/A","N/A",""))</f>
        <v/>
      </c>
      <c r="P220" s="13" t="str">
        <f aca="false">IF(AND(M220="Gap",N220&lt;&gt;"",O220&lt;&gt;""),VLOOKUP(N220&amp;O220,Lists!$H$4:$I$12,2,FALSE()),"")</f>
        <v/>
      </c>
      <c r="Q220" s="13" t="str">
        <f aca="false">IF(AND(M220="Gap",O220="S",OR(N220="H",N220="M")),"Yes","")</f>
        <v/>
      </c>
      <c r="S220" s="14" t="str">
        <f aca="false">IF(A220="","",IFERROR(IF(OR(VLOOKUP(A220,AutoEvidence!$A$2:$G$400,2,FALSE())="Collected",VLOOKUP(A220,AutoEvidence!$A$2:$G$400,2,FALSE())="Partial"),VLOOKUP(A220,AutoEvidence!$A$2:$G$400,3,FALSE())&amp;" ("&amp;VLOOKUP(A220,AutoEvidence!$A$2:$G$400,2,FALSE())&amp;")",VLOOKUP(A220,AutoEvidence!$A$2:$G$400,2,FALSE())),""))</f>
        <v/>
      </c>
      <c r="T220" s="7" t="str">
        <f aca="false">IF(A220="","",IFERROR(VLOOKUP(A220,AutoEvidence!$A$2:$G$400,4,FALSE())&amp;"",""))</f>
        <v/>
      </c>
      <c r="AB220" s="13" t="str">
        <f aca="false">IF(M220="Gap",1,IF(M220="OK",0,""))</f>
        <v/>
      </c>
      <c r="AC220" s="16" t="str">
        <f aca="false">IF(P220&lt;&gt;"",VALUE(RIGHT(P220,1))*1000+ROW(),"")</f>
        <v/>
      </c>
      <c r="AD220" s="16" t="str">
        <f aca="false">IF(ISNUMBER(L220),MIN(L220,K220),"")</f>
        <v/>
      </c>
      <c r="AE220" s="16" t="str">
        <f aca="false">IF(AND(ISNUMBER(SEARCH(" PA "," "&amp;SUBSTITUTE($I220,","," ")&amp;" ")),ISNUMBER($L220)),$L220,"")</f>
        <v/>
      </c>
      <c r="AF220" s="16" t="str">
        <f aca="false">IF(AND(ISNUMBER(SEARCH(" PO "," "&amp;SUBSTITUTE($I220,","," ")&amp;" ")),ISNUMBER($L220)),$L220,"")</f>
        <v/>
      </c>
      <c r="AG220" s="16" t="str">
        <f aca="false">IF(AND(ISNUMBER(SEARCH(" MFA "," "&amp;SUBSTITUTE($I220,","," ")&amp;" ")),ISNUMBER($L220)),$L220,"")</f>
        <v/>
      </c>
      <c r="AH220" s="16" t="str">
        <f aca="false">IF(AND(ISNUMBER(SEARCH(" RAP "," "&amp;SUBSTITUTE($I220,","," ")&amp;" ")),ISNUMBER($L220)),$L220,"")</f>
        <v/>
      </c>
      <c r="AI220" s="16" t="str">
        <f aca="false">IF(AND(ISNUMBER(SEARCH(" AC "," "&amp;SUBSTITUTE($I220,","," ")&amp;" ")),ISNUMBER($L220)),$L220,"")</f>
        <v/>
      </c>
      <c r="AJ220" s="16" t="str">
        <f aca="false">IF(AND(ISNUMBER(SEARCH(" MAC "," "&amp;SUBSTITUTE($I220,","," ")&amp;" ")),ISNUMBER($L220)),$L220,"")</f>
        <v/>
      </c>
      <c r="AK220" s="16" t="str">
        <f aca="false">IF(AND(ISNUMBER(SEARCH(" UAH "," "&amp;SUBSTITUTE($I220,","," ")&amp;" ")),ISNUMBER($L220)),$L220,"")</f>
        <v/>
      </c>
      <c r="AL220" s="16" t="str">
        <f aca="false">IF(AND(ISNUMBER(SEARCH(" RB "," "&amp;SUBSTITUTE($I220,","," ")&amp;" ")),ISNUMBER($L220)),$L220,"")</f>
        <v/>
      </c>
    </row>
    <row r="221" customFormat="false" ht="15" hidden="false" customHeight="false" outlineLevel="0" collapsed="false">
      <c r="M221" s="13" t="str">
        <f aca="false">IF(ISNUMBER(L221),IF(L221&lt;K221,"Gap","OK"),IF(L221="N/A","N/A",""))</f>
        <v/>
      </c>
      <c r="P221" s="13" t="str">
        <f aca="false">IF(AND(M221="Gap",N221&lt;&gt;"",O221&lt;&gt;""),VLOOKUP(N221&amp;O221,Lists!$H$4:$I$12,2,FALSE()),"")</f>
        <v/>
      </c>
      <c r="Q221" s="13" t="str">
        <f aca="false">IF(AND(M221="Gap",O221="S",OR(N221="H",N221="M")),"Yes","")</f>
        <v/>
      </c>
      <c r="S221" s="14" t="str">
        <f aca="false">IF(A221="","",IFERROR(IF(OR(VLOOKUP(A221,AutoEvidence!$A$2:$G$400,2,FALSE())="Collected",VLOOKUP(A221,AutoEvidence!$A$2:$G$400,2,FALSE())="Partial"),VLOOKUP(A221,AutoEvidence!$A$2:$G$400,3,FALSE())&amp;" ("&amp;VLOOKUP(A221,AutoEvidence!$A$2:$G$400,2,FALSE())&amp;")",VLOOKUP(A221,AutoEvidence!$A$2:$G$400,2,FALSE())),""))</f>
        <v/>
      </c>
      <c r="T221" s="7" t="str">
        <f aca="false">IF(A221="","",IFERROR(VLOOKUP(A221,AutoEvidence!$A$2:$G$400,4,FALSE())&amp;"",""))</f>
        <v/>
      </c>
      <c r="AB221" s="13" t="str">
        <f aca="false">IF(M221="Gap",1,IF(M221="OK",0,""))</f>
        <v/>
      </c>
      <c r="AC221" s="16" t="str">
        <f aca="false">IF(P221&lt;&gt;"",VALUE(RIGHT(P221,1))*1000+ROW(),"")</f>
        <v/>
      </c>
      <c r="AD221" s="16" t="str">
        <f aca="false">IF(ISNUMBER(L221),MIN(L221,K221),"")</f>
        <v/>
      </c>
      <c r="AE221" s="16" t="str">
        <f aca="false">IF(AND(ISNUMBER(SEARCH(" PA "," "&amp;SUBSTITUTE($I221,","," ")&amp;" ")),ISNUMBER($L221)),$L221,"")</f>
        <v/>
      </c>
      <c r="AF221" s="16" t="str">
        <f aca="false">IF(AND(ISNUMBER(SEARCH(" PO "," "&amp;SUBSTITUTE($I221,","," ")&amp;" ")),ISNUMBER($L221)),$L221,"")</f>
        <v/>
      </c>
      <c r="AG221" s="16" t="str">
        <f aca="false">IF(AND(ISNUMBER(SEARCH(" MFA "," "&amp;SUBSTITUTE($I221,","," ")&amp;" ")),ISNUMBER($L221)),$L221,"")</f>
        <v/>
      </c>
      <c r="AH221" s="16" t="str">
        <f aca="false">IF(AND(ISNUMBER(SEARCH(" RAP "," "&amp;SUBSTITUTE($I221,","," ")&amp;" ")),ISNUMBER($L221)),$L221,"")</f>
        <v/>
      </c>
      <c r="AI221" s="16" t="str">
        <f aca="false">IF(AND(ISNUMBER(SEARCH(" AC "," "&amp;SUBSTITUTE($I221,","," ")&amp;" ")),ISNUMBER($L221)),$L221,"")</f>
        <v/>
      </c>
      <c r="AJ221" s="16" t="str">
        <f aca="false">IF(AND(ISNUMBER(SEARCH(" MAC "," "&amp;SUBSTITUTE($I221,","," ")&amp;" ")),ISNUMBER($L221)),$L221,"")</f>
        <v/>
      </c>
      <c r="AK221" s="16" t="str">
        <f aca="false">IF(AND(ISNUMBER(SEARCH(" UAH "," "&amp;SUBSTITUTE($I221,","," ")&amp;" ")),ISNUMBER($L221)),$L221,"")</f>
        <v/>
      </c>
      <c r="AL221" s="16" t="str">
        <f aca="false">IF(AND(ISNUMBER(SEARCH(" RB "," "&amp;SUBSTITUTE($I221,","," ")&amp;" ")),ISNUMBER($L221)),$L221,"")</f>
        <v/>
      </c>
    </row>
    <row r="222" customFormat="false" ht="15" hidden="false" customHeight="false" outlineLevel="0" collapsed="false">
      <c r="M222" s="13" t="str">
        <f aca="false">IF(ISNUMBER(L222),IF(L222&lt;K222,"Gap","OK"),IF(L222="N/A","N/A",""))</f>
        <v/>
      </c>
      <c r="P222" s="13" t="str">
        <f aca="false">IF(AND(M222="Gap",N222&lt;&gt;"",O222&lt;&gt;""),VLOOKUP(N222&amp;O222,Lists!$H$4:$I$12,2,FALSE()),"")</f>
        <v/>
      </c>
      <c r="Q222" s="13" t="str">
        <f aca="false">IF(AND(M222="Gap",O222="S",OR(N222="H",N222="M")),"Yes","")</f>
        <v/>
      </c>
      <c r="S222" s="14" t="str">
        <f aca="false">IF(A222="","",IFERROR(IF(OR(VLOOKUP(A222,AutoEvidence!$A$2:$G$400,2,FALSE())="Collected",VLOOKUP(A222,AutoEvidence!$A$2:$G$400,2,FALSE())="Partial"),VLOOKUP(A222,AutoEvidence!$A$2:$G$400,3,FALSE())&amp;" ("&amp;VLOOKUP(A222,AutoEvidence!$A$2:$G$400,2,FALSE())&amp;")",VLOOKUP(A222,AutoEvidence!$A$2:$G$400,2,FALSE())),""))</f>
        <v/>
      </c>
      <c r="T222" s="7" t="str">
        <f aca="false">IF(A222="","",IFERROR(VLOOKUP(A222,AutoEvidence!$A$2:$G$400,4,FALSE())&amp;"",""))</f>
        <v/>
      </c>
      <c r="AB222" s="13" t="str">
        <f aca="false">IF(M222="Gap",1,IF(M222="OK",0,""))</f>
        <v/>
      </c>
      <c r="AC222" s="16" t="str">
        <f aca="false">IF(P222&lt;&gt;"",VALUE(RIGHT(P222,1))*1000+ROW(),"")</f>
        <v/>
      </c>
      <c r="AD222" s="16" t="str">
        <f aca="false">IF(ISNUMBER(L222),MIN(L222,K222),"")</f>
        <v/>
      </c>
      <c r="AE222" s="16" t="str">
        <f aca="false">IF(AND(ISNUMBER(SEARCH(" PA "," "&amp;SUBSTITUTE($I222,","," ")&amp;" ")),ISNUMBER($L222)),$L222,"")</f>
        <v/>
      </c>
      <c r="AF222" s="16" t="str">
        <f aca="false">IF(AND(ISNUMBER(SEARCH(" PO "," "&amp;SUBSTITUTE($I222,","," ")&amp;" ")),ISNUMBER($L222)),$L222,"")</f>
        <v/>
      </c>
      <c r="AG222" s="16" t="str">
        <f aca="false">IF(AND(ISNUMBER(SEARCH(" MFA "," "&amp;SUBSTITUTE($I222,","," ")&amp;" ")),ISNUMBER($L222)),$L222,"")</f>
        <v/>
      </c>
      <c r="AH222" s="16" t="str">
        <f aca="false">IF(AND(ISNUMBER(SEARCH(" RAP "," "&amp;SUBSTITUTE($I222,","," ")&amp;" ")),ISNUMBER($L222)),$L222,"")</f>
        <v/>
      </c>
      <c r="AI222" s="16" t="str">
        <f aca="false">IF(AND(ISNUMBER(SEARCH(" AC "," "&amp;SUBSTITUTE($I222,","," ")&amp;" ")),ISNUMBER($L222)),$L222,"")</f>
        <v/>
      </c>
      <c r="AJ222" s="16" t="str">
        <f aca="false">IF(AND(ISNUMBER(SEARCH(" MAC "," "&amp;SUBSTITUTE($I222,","," ")&amp;" ")),ISNUMBER($L222)),$L222,"")</f>
        <v/>
      </c>
      <c r="AK222" s="16" t="str">
        <f aca="false">IF(AND(ISNUMBER(SEARCH(" UAH "," "&amp;SUBSTITUTE($I222,","," ")&amp;" ")),ISNUMBER($L222)),$L222,"")</f>
        <v/>
      </c>
      <c r="AL222" s="16" t="str">
        <f aca="false">IF(AND(ISNUMBER(SEARCH(" RB "," "&amp;SUBSTITUTE($I222,","," ")&amp;" ")),ISNUMBER($L222)),$L222,"")</f>
        <v/>
      </c>
    </row>
    <row r="223" customFormat="false" ht="15" hidden="false" customHeight="false" outlineLevel="0" collapsed="false">
      <c r="M223" s="13" t="str">
        <f aca="false">IF(ISNUMBER(L223),IF(L223&lt;K223,"Gap","OK"),IF(L223="N/A","N/A",""))</f>
        <v/>
      </c>
      <c r="P223" s="13" t="str">
        <f aca="false">IF(AND(M223="Gap",N223&lt;&gt;"",O223&lt;&gt;""),VLOOKUP(N223&amp;O223,Lists!$H$4:$I$12,2,FALSE()),"")</f>
        <v/>
      </c>
      <c r="Q223" s="13" t="str">
        <f aca="false">IF(AND(M223="Gap",O223="S",OR(N223="H",N223="M")),"Yes","")</f>
        <v/>
      </c>
      <c r="S223" s="14" t="str">
        <f aca="false">IF(A223="","",IFERROR(IF(OR(VLOOKUP(A223,AutoEvidence!$A$2:$G$400,2,FALSE())="Collected",VLOOKUP(A223,AutoEvidence!$A$2:$G$400,2,FALSE())="Partial"),VLOOKUP(A223,AutoEvidence!$A$2:$G$400,3,FALSE())&amp;" ("&amp;VLOOKUP(A223,AutoEvidence!$A$2:$G$400,2,FALSE())&amp;")",VLOOKUP(A223,AutoEvidence!$A$2:$G$400,2,FALSE())),""))</f>
        <v/>
      </c>
      <c r="T223" s="7" t="str">
        <f aca="false">IF(A223="","",IFERROR(VLOOKUP(A223,AutoEvidence!$A$2:$G$400,4,FALSE())&amp;"",""))</f>
        <v/>
      </c>
      <c r="AB223" s="13" t="str">
        <f aca="false">IF(M223="Gap",1,IF(M223="OK",0,""))</f>
        <v/>
      </c>
      <c r="AC223" s="16" t="str">
        <f aca="false">IF(P223&lt;&gt;"",VALUE(RIGHT(P223,1))*1000+ROW(),"")</f>
        <v/>
      </c>
      <c r="AD223" s="16" t="str">
        <f aca="false">IF(ISNUMBER(L223),MIN(L223,K223),"")</f>
        <v/>
      </c>
      <c r="AE223" s="16" t="str">
        <f aca="false">IF(AND(ISNUMBER(SEARCH(" PA "," "&amp;SUBSTITUTE($I223,","," ")&amp;" ")),ISNUMBER($L223)),$L223,"")</f>
        <v/>
      </c>
      <c r="AF223" s="16" t="str">
        <f aca="false">IF(AND(ISNUMBER(SEARCH(" PO "," "&amp;SUBSTITUTE($I223,","," ")&amp;" ")),ISNUMBER($L223)),$L223,"")</f>
        <v/>
      </c>
      <c r="AG223" s="16" t="str">
        <f aca="false">IF(AND(ISNUMBER(SEARCH(" MFA "," "&amp;SUBSTITUTE($I223,","," ")&amp;" ")),ISNUMBER($L223)),$L223,"")</f>
        <v/>
      </c>
      <c r="AH223" s="16" t="str">
        <f aca="false">IF(AND(ISNUMBER(SEARCH(" RAP "," "&amp;SUBSTITUTE($I223,","," ")&amp;" ")),ISNUMBER($L223)),$L223,"")</f>
        <v/>
      </c>
      <c r="AI223" s="16" t="str">
        <f aca="false">IF(AND(ISNUMBER(SEARCH(" AC "," "&amp;SUBSTITUTE($I223,","," ")&amp;" ")),ISNUMBER($L223)),$L223,"")</f>
        <v/>
      </c>
      <c r="AJ223" s="16" t="str">
        <f aca="false">IF(AND(ISNUMBER(SEARCH(" MAC "," "&amp;SUBSTITUTE($I223,","," ")&amp;" ")),ISNUMBER($L223)),$L223,"")</f>
        <v/>
      </c>
      <c r="AK223" s="16" t="str">
        <f aca="false">IF(AND(ISNUMBER(SEARCH(" UAH "," "&amp;SUBSTITUTE($I223,","," ")&amp;" ")),ISNUMBER($L223)),$L223,"")</f>
        <v/>
      </c>
      <c r="AL223" s="16" t="str">
        <f aca="false">IF(AND(ISNUMBER(SEARCH(" RB "," "&amp;SUBSTITUTE($I223,","," ")&amp;" ")),ISNUMBER($L223)),$L223,"")</f>
        <v/>
      </c>
    </row>
    <row r="224" customFormat="false" ht="15" hidden="false" customHeight="false" outlineLevel="0" collapsed="false">
      <c r="M224" s="13" t="str">
        <f aca="false">IF(ISNUMBER(L224),IF(L224&lt;K224,"Gap","OK"),IF(L224="N/A","N/A",""))</f>
        <v/>
      </c>
      <c r="P224" s="13" t="str">
        <f aca="false">IF(AND(M224="Gap",N224&lt;&gt;"",O224&lt;&gt;""),VLOOKUP(N224&amp;O224,Lists!$H$4:$I$12,2,FALSE()),"")</f>
        <v/>
      </c>
      <c r="Q224" s="13" t="str">
        <f aca="false">IF(AND(M224="Gap",O224="S",OR(N224="H",N224="M")),"Yes","")</f>
        <v/>
      </c>
      <c r="S224" s="14" t="str">
        <f aca="false">IF(A224="","",IFERROR(IF(OR(VLOOKUP(A224,AutoEvidence!$A$2:$G$400,2,FALSE())="Collected",VLOOKUP(A224,AutoEvidence!$A$2:$G$400,2,FALSE())="Partial"),VLOOKUP(A224,AutoEvidence!$A$2:$G$400,3,FALSE())&amp;" ("&amp;VLOOKUP(A224,AutoEvidence!$A$2:$G$400,2,FALSE())&amp;")",VLOOKUP(A224,AutoEvidence!$A$2:$G$400,2,FALSE())),""))</f>
        <v/>
      </c>
      <c r="T224" s="7" t="str">
        <f aca="false">IF(A224="","",IFERROR(VLOOKUP(A224,AutoEvidence!$A$2:$G$400,4,FALSE())&amp;"",""))</f>
        <v/>
      </c>
      <c r="AB224" s="13" t="str">
        <f aca="false">IF(M224="Gap",1,IF(M224="OK",0,""))</f>
        <v/>
      </c>
      <c r="AC224" s="16" t="str">
        <f aca="false">IF(P224&lt;&gt;"",VALUE(RIGHT(P224,1))*1000+ROW(),"")</f>
        <v/>
      </c>
      <c r="AD224" s="16" t="str">
        <f aca="false">IF(ISNUMBER(L224),MIN(L224,K224),"")</f>
        <v/>
      </c>
      <c r="AE224" s="16" t="str">
        <f aca="false">IF(AND(ISNUMBER(SEARCH(" PA "," "&amp;SUBSTITUTE($I224,","," ")&amp;" ")),ISNUMBER($L224)),$L224,"")</f>
        <v/>
      </c>
      <c r="AF224" s="16" t="str">
        <f aca="false">IF(AND(ISNUMBER(SEARCH(" PO "," "&amp;SUBSTITUTE($I224,","," ")&amp;" ")),ISNUMBER($L224)),$L224,"")</f>
        <v/>
      </c>
      <c r="AG224" s="16" t="str">
        <f aca="false">IF(AND(ISNUMBER(SEARCH(" MFA "," "&amp;SUBSTITUTE($I224,","," ")&amp;" ")),ISNUMBER($L224)),$L224,"")</f>
        <v/>
      </c>
      <c r="AH224" s="16" t="str">
        <f aca="false">IF(AND(ISNUMBER(SEARCH(" RAP "," "&amp;SUBSTITUTE($I224,","," ")&amp;" ")),ISNUMBER($L224)),$L224,"")</f>
        <v/>
      </c>
      <c r="AI224" s="16" t="str">
        <f aca="false">IF(AND(ISNUMBER(SEARCH(" AC "," "&amp;SUBSTITUTE($I224,","," ")&amp;" ")),ISNUMBER($L224)),$L224,"")</f>
        <v/>
      </c>
      <c r="AJ224" s="16" t="str">
        <f aca="false">IF(AND(ISNUMBER(SEARCH(" MAC "," "&amp;SUBSTITUTE($I224,","," ")&amp;" ")),ISNUMBER($L224)),$L224,"")</f>
        <v/>
      </c>
      <c r="AK224" s="16" t="str">
        <f aca="false">IF(AND(ISNUMBER(SEARCH(" UAH "," "&amp;SUBSTITUTE($I224,","," ")&amp;" ")),ISNUMBER($L224)),$L224,"")</f>
        <v/>
      </c>
      <c r="AL224" s="16" t="str">
        <f aca="false">IF(AND(ISNUMBER(SEARCH(" RB "," "&amp;SUBSTITUTE($I224,","," ")&amp;" ")),ISNUMBER($L224)),$L224,"")</f>
        <v/>
      </c>
    </row>
    <row r="225" customFormat="false" ht="15" hidden="false" customHeight="false" outlineLevel="0" collapsed="false">
      <c r="M225" s="13" t="str">
        <f aca="false">IF(ISNUMBER(L225),IF(L225&lt;K225,"Gap","OK"),IF(L225="N/A","N/A",""))</f>
        <v/>
      </c>
      <c r="P225" s="13" t="str">
        <f aca="false">IF(AND(M225="Gap",N225&lt;&gt;"",O225&lt;&gt;""),VLOOKUP(N225&amp;O225,Lists!$H$4:$I$12,2,FALSE()),"")</f>
        <v/>
      </c>
      <c r="Q225" s="13" t="str">
        <f aca="false">IF(AND(M225="Gap",O225="S",OR(N225="H",N225="M")),"Yes","")</f>
        <v/>
      </c>
      <c r="S225" s="14" t="str">
        <f aca="false">IF(A225="","",IFERROR(IF(OR(VLOOKUP(A225,AutoEvidence!$A$2:$G$400,2,FALSE())="Collected",VLOOKUP(A225,AutoEvidence!$A$2:$G$400,2,FALSE())="Partial"),VLOOKUP(A225,AutoEvidence!$A$2:$G$400,3,FALSE())&amp;" ("&amp;VLOOKUP(A225,AutoEvidence!$A$2:$G$400,2,FALSE())&amp;")",VLOOKUP(A225,AutoEvidence!$A$2:$G$400,2,FALSE())),""))</f>
        <v/>
      </c>
      <c r="T225" s="7" t="str">
        <f aca="false">IF(A225="","",IFERROR(VLOOKUP(A225,AutoEvidence!$A$2:$G$400,4,FALSE())&amp;"",""))</f>
        <v/>
      </c>
      <c r="AB225" s="13" t="str">
        <f aca="false">IF(M225="Gap",1,IF(M225="OK",0,""))</f>
        <v/>
      </c>
      <c r="AC225" s="16" t="str">
        <f aca="false">IF(P225&lt;&gt;"",VALUE(RIGHT(P225,1))*1000+ROW(),"")</f>
        <v/>
      </c>
      <c r="AD225" s="16" t="str">
        <f aca="false">IF(ISNUMBER(L225),MIN(L225,K225),"")</f>
        <v/>
      </c>
      <c r="AE225" s="16" t="str">
        <f aca="false">IF(AND(ISNUMBER(SEARCH(" PA "," "&amp;SUBSTITUTE($I225,","," ")&amp;" ")),ISNUMBER($L225)),$L225,"")</f>
        <v/>
      </c>
      <c r="AF225" s="16" t="str">
        <f aca="false">IF(AND(ISNUMBER(SEARCH(" PO "," "&amp;SUBSTITUTE($I225,","," ")&amp;" ")),ISNUMBER($L225)),$L225,"")</f>
        <v/>
      </c>
      <c r="AG225" s="16" t="str">
        <f aca="false">IF(AND(ISNUMBER(SEARCH(" MFA "," "&amp;SUBSTITUTE($I225,","," ")&amp;" ")),ISNUMBER($L225)),$L225,"")</f>
        <v/>
      </c>
      <c r="AH225" s="16" t="str">
        <f aca="false">IF(AND(ISNUMBER(SEARCH(" RAP "," "&amp;SUBSTITUTE($I225,","," ")&amp;" ")),ISNUMBER($L225)),$L225,"")</f>
        <v/>
      </c>
      <c r="AI225" s="16" t="str">
        <f aca="false">IF(AND(ISNUMBER(SEARCH(" AC "," "&amp;SUBSTITUTE($I225,","," ")&amp;" ")),ISNUMBER($L225)),$L225,"")</f>
        <v/>
      </c>
      <c r="AJ225" s="16" t="str">
        <f aca="false">IF(AND(ISNUMBER(SEARCH(" MAC "," "&amp;SUBSTITUTE($I225,","," ")&amp;" ")),ISNUMBER($L225)),$L225,"")</f>
        <v/>
      </c>
      <c r="AK225" s="16" t="str">
        <f aca="false">IF(AND(ISNUMBER(SEARCH(" UAH "," "&amp;SUBSTITUTE($I225,","," ")&amp;" ")),ISNUMBER($L225)),$L225,"")</f>
        <v/>
      </c>
      <c r="AL225" s="16" t="str">
        <f aca="false">IF(AND(ISNUMBER(SEARCH(" RB "," "&amp;SUBSTITUTE($I225,","," ")&amp;" ")),ISNUMBER($L225)),$L225,"")</f>
        <v/>
      </c>
    </row>
    <row r="226" customFormat="false" ht="15" hidden="false" customHeight="false" outlineLevel="0" collapsed="false">
      <c r="M226" s="13" t="str">
        <f aca="false">IF(ISNUMBER(L226),IF(L226&lt;K226,"Gap","OK"),IF(L226="N/A","N/A",""))</f>
        <v/>
      </c>
      <c r="P226" s="13" t="str">
        <f aca="false">IF(AND(M226="Gap",N226&lt;&gt;"",O226&lt;&gt;""),VLOOKUP(N226&amp;O226,Lists!$H$4:$I$12,2,FALSE()),"")</f>
        <v/>
      </c>
      <c r="Q226" s="13" t="str">
        <f aca="false">IF(AND(M226="Gap",O226="S",OR(N226="H",N226="M")),"Yes","")</f>
        <v/>
      </c>
      <c r="S226" s="14" t="str">
        <f aca="false">IF(A226="","",IFERROR(IF(OR(VLOOKUP(A226,AutoEvidence!$A$2:$G$400,2,FALSE())="Collected",VLOOKUP(A226,AutoEvidence!$A$2:$G$400,2,FALSE())="Partial"),VLOOKUP(A226,AutoEvidence!$A$2:$G$400,3,FALSE())&amp;" ("&amp;VLOOKUP(A226,AutoEvidence!$A$2:$G$400,2,FALSE())&amp;")",VLOOKUP(A226,AutoEvidence!$A$2:$G$400,2,FALSE())),""))</f>
        <v/>
      </c>
      <c r="T226" s="7" t="str">
        <f aca="false">IF(A226="","",IFERROR(VLOOKUP(A226,AutoEvidence!$A$2:$G$400,4,FALSE())&amp;"",""))</f>
        <v/>
      </c>
      <c r="AB226" s="13" t="str">
        <f aca="false">IF(M226="Gap",1,IF(M226="OK",0,""))</f>
        <v/>
      </c>
      <c r="AC226" s="16" t="str">
        <f aca="false">IF(P226&lt;&gt;"",VALUE(RIGHT(P226,1))*1000+ROW(),"")</f>
        <v/>
      </c>
      <c r="AD226" s="16" t="str">
        <f aca="false">IF(ISNUMBER(L226),MIN(L226,K226),"")</f>
        <v/>
      </c>
      <c r="AE226" s="16" t="str">
        <f aca="false">IF(AND(ISNUMBER(SEARCH(" PA "," "&amp;SUBSTITUTE($I226,","," ")&amp;" ")),ISNUMBER($L226)),$L226,"")</f>
        <v/>
      </c>
      <c r="AF226" s="16" t="str">
        <f aca="false">IF(AND(ISNUMBER(SEARCH(" PO "," "&amp;SUBSTITUTE($I226,","," ")&amp;" ")),ISNUMBER($L226)),$L226,"")</f>
        <v/>
      </c>
      <c r="AG226" s="16" t="str">
        <f aca="false">IF(AND(ISNUMBER(SEARCH(" MFA "," "&amp;SUBSTITUTE($I226,","," ")&amp;" ")),ISNUMBER($L226)),$L226,"")</f>
        <v/>
      </c>
      <c r="AH226" s="16" t="str">
        <f aca="false">IF(AND(ISNUMBER(SEARCH(" RAP "," "&amp;SUBSTITUTE($I226,","," ")&amp;" ")),ISNUMBER($L226)),$L226,"")</f>
        <v/>
      </c>
      <c r="AI226" s="16" t="str">
        <f aca="false">IF(AND(ISNUMBER(SEARCH(" AC "," "&amp;SUBSTITUTE($I226,","," ")&amp;" ")),ISNUMBER($L226)),$L226,"")</f>
        <v/>
      </c>
      <c r="AJ226" s="16" t="str">
        <f aca="false">IF(AND(ISNUMBER(SEARCH(" MAC "," "&amp;SUBSTITUTE($I226,","," ")&amp;" ")),ISNUMBER($L226)),$L226,"")</f>
        <v/>
      </c>
      <c r="AK226" s="16" t="str">
        <f aca="false">IF(AND(ISNUMBER(SEARCH(" UAH "," "&amp;SUBSTITUTE($I226,","," ")&amp;" ")),ISNUMBER($L226)),$L226,"")</f>
        <v/>
      </c>
      <c r="AL226" s="16" t="str">
        <f aca="false">IF(AND(ISNUMBER(SEARCH(" RB "," "&amp;SUBSTITUTE($I226,","," ")&amp;" ")),ISNUMBER($L226)),$L226,"")</f>
        <v/>
      </c>
    </row>
    <row r="227" customFormat="false" ht="15" hidden="false" customHeight="false" outlineLevel="0" collapsed="false">
      <c r="M227" s="13" t="str">
        <f aca="false">IF(ISNUMBER(L227),IF(L227&lt;K227,"Gap","OK"),IF(L227="N/A","N/A",""))</f>
        <v/>
      </c>
      <c r="P227" s="13" t="str">
        <f aca="false">IF(AND(M227="Gap",N227&lt;&gt;"",O227&lt;&gt;""),VLOOKUP(N227&amp;O227,Lists!$H$4:$I$12,2,FALSE()),"")</f>
        <v/>
      </c>
      <c r="Q227" s="13" t="str">
        <f aca="false">IF(AND(M227="Gap",O227="S",OR(N227="H",N227="M")),"Yes","")</f>
        <v/>
      </c>
      <c r="S227" s="14" t="str">
        <f aca="false">IF(A227="","",IFERROR(IF(OR(VLOOKUP(A227,AutoEvidence!$A$2:$G$400,2,FALSE())="Collected",VLOOKUP(A227,AutoEvidence!$A$2:$G$400,2,FALSE())="Partial"),VLOOKUP(A227,AutoEvidence!$A$2:$G$400,3,FALSE())&amp;" ("&amp;VLOOKUP(A227,AutoEvidence!$A$2:$G$400,2,FALSE())&amp;")",VLOOKUP(A227,AutoEvidence!$A$2:$G$400,2,FALSE())),""))</f>
        <v/>
      </c>
      <c r="T227" s="7" t="str">
        <f aca="false">IF(A227="","",IFERROR(VLOOKUP(A227,AutoEvidence!$A$2:$G$400,4,FALSE())&amp;"",""))</f>
        <v/>
      </c>
      <c r="AB227" s="13" t="str">
        <f aca="false">IF(M227="Gap",1,IF(M227="OK",0,""))</f>
        <v/>
      </c>
      <c r="AC227" s="16" t="str">
        <f aca="false">IF(P227&lt;&gt;"",VALUE(RIGHT(P227,1))*1000+ROW(),"")</f>
        <v/>
      </c>
      <c r="AD227" s="16" t="str">
        <f aca="false">IF(ISNUMBER(L227),MIN(L227,K227),"")</f>
        <v/>
      </c>
      <c r="AE227" s="16" t="str">
        <f aca="false">IF(AND(ISNUMBER(SEARCH(" PA "," "&amp;SUBSTITUTE($I227,","," ")&amp;" ")),ISNUMBER($L227)),$L227,"")</f>
        <v/>
      </c>
      <c r="AF227" s="16" t="str">
        <f aca="false">IF(AND(ISNUMBER(SEARCH(" PO "," "&amp;SUBSTITUTE($I227,","," ")&amp;" ")),ISNUMBER($L227)),$L227,"")</f>
        <v/>
      </c>
      <c r="AG227" s="16" t="str">
        <f aca="false">IF(AND(ISNUMBER(SEARCH(" MFA "," "&amp;SUBSTITUTE($I227,","," ")&amp;" ")),ISNUMBER($L227)),$L227,"")</f>
        <v/>
      </c>
      <c r="AH227" s="16" t="str">
        <f aca="false">IF(AND(ISNUMBER(SEARCH(" RAP "," "&amp;SUBSTITUTE($I227,","," ")&amp;" ")),ISNUMBER($L227)),$L227,"")</f>
        <v/>
      </c>
      <c r="AI227" s="16" t="str">
        <f aca="false">IF(AND(ISNUMBER(SEARCH(" AC "," "&amp;SUBSTITUTE($I227,","," ")&amp;" ")),ISNUMBER($L227)),$L227,"")</f>
        <v/>
      </c>
      <c r="AJ227" s="16" t="str">
        <f aca="false">IF(AND(ISNUMBER(SEARCH(" MAC "," "&amp;SUBSTITUTE($I227,","," ")&amp;" ")),ISNUMBER($L227)),$L227,"")</f>
        <v/>
      </c>
      <c r="AK227" s="16" t="str">
        <f aca="false">IF(AND(ISNUMBER(SEARCH(" UAH "," "&amp;SUBSTITUTE($I227,","," ")&amp;" ")),ISNUMBER($L227)),$L227,"")</f>
        <v/>
      </c>
      <c r="AL227" s="16" t="str">
        <f aca="false">IF(AND(ISNUMBER(SEARCH(" RB "," "&amp;SUBSTITUTE($I227,","," ")&amp;" ")),ISNUMBER($L227)),$L227,"")</f>
        <v/>
      </c>
    </row>
    <row r="228" customFormat="false" ht="15" hidden="false" customHeight="false" outlineLevel="0" collapsed="false">
      <c r="M228" s="13" t="str">
        <f aca="false">IF(ISNUMBER(L228),IF(L228&lt;K228,"Gap","OK"),IF(L228="N/A","N/A",""))</f>
        <v/>
      </c>
      <c r="P228" s="13" t="str">
        <f aca="false">IF(AND(M228="Gap",N228&lt;&gt;"",O228&lt;&gt;""),VLOOKUP(N228&amp;O228,Lists!$H$4:$I$12,2,FALSE()),"")</f>
        <v/>
      </c>
      <c r="Q228" s="13" t="str">
        <f aca="false">IF(AND(M228="Gap",O228="S",OR(N228="H",N228="M")),"Yes","")</f>
        <v/>
      </c>
      <c r="S228" s="14" t="str">
        <f aca="false">IF(A228="","",IFERROR(IF(OR(VLOOKUP(A228,AutoEvidence!$A$2:$G$400,2,FALSE())="Collected",VLOOKUP(A228,AutoEvidence!$A$2:$G$400,2,FALSE())="Partial"),VLOOKUP(A228,AutoEvidence!$A$2:$G$400,3,FALSE())&amp;" ("&amp;VLOOKUP(A228,AutoEvidence!$A$2:$G$400,2,FALSE())&amp;")",VLOOKUP(A228,AutoEvidence!$A$2:$G$400,2,FALSE())),""))</f>
        <v/>
      </c>
      <c r="T228" s="7" t="str">
        <f aca="false">IF(A228="","",IFERROR(VLOOKUP(A228,AutoEvidence!$A$2:$G$400,4,FALSE())&amp;"",""))</f>
        <v/>
      </c>
      <c r="AB228" s="13" t="str">
        <f aca="false">IF(M228="Gap",1,IF(M228="OK",0,""))</f>
        <v/>
      </c>
      <c r="AC228" s="16" t="str">
        <f aca="false">IF(P228&lt;&gt;"",VALUE(RIGHT(P228,1))*1000+ROW(),"")</f>
        <v/>
      </c>
      <c r="AD228" s="16" t="str">
        <f aca="false">IF(ISNUMBER(L228),MIN(L228,K228),"")</f>
        <v/>
      </c>
      <c r="AE228" s="16" t="str">
        <f aca="false">IF(AND(ISNUMBER(SEARCH(" PA "," "&amp;SUBSTITUTE($I228,","," ")&amp;" ")),ISNUMBER($L228)),$L228,"")</f>
        <v/>
      </c>
      <c r="AF228" s="16" t="str">
        <f aca="false">IF(AND(ISNUMBER(SEARCH(" PO "," "&amp;SUBSTITUTE($I228,","," ")&amp;" ")),ISNUMBER($L228)),$L228,"")</f>
        <v/>
      </c>
      <c r="AG228" s="16" t="str">
        <f aca="false">IF(AND(ISNUMBER(SEARCH(" MFA "," "&amp;SUBSTITUTE($I228,","," ")&amp;" ")),ISNUMBER($L228)),$L228,"")</f>
        <v/>
      </c>
      <c r="AH228" s="16" t="str">
        <f aca="false">IF(AND(ISNUMBER(SEARCH(" RAP "," "&amp;SUBSTITUTE($I228,","," ")&amp;" ")),ISNUMBER($L228)),$L228,"")</f>
        <v/>
      </c>
      <c r="AI228" s="16" t="str">
        <f aca="false">IF(AND(ISNUMBER(SEARCH(" AC "," "&amp;SUBSTITUTE($I228,","," ")&amp;" ")),ISNUMBER($L228)),$L228,"")</f>
        <v/>
      </c>
      <c r="AJ228" s="16" t="str">
        <f aca="false">IF(AND(ISNUMBER(SEARCH(" MAC "," "&amp;SUBSTITUTE($I228,","," ")&amp;" ")),ISNUMBER($L228)),$L228,"")</f>
        <v/>
      </c>
      <c r="AK228" s="16" t="str">
        <f aca="false">IF(AND(ISNUMBER(SEARCH(" UAH "," "&amp;SUBSTITUTE($I228,","," ")&amp;" ")),ISNUMBER($L228)),$L228,"")</f>
        <v/>
      </c>
      <c r="AL228" s="16" t="str">
        <f aca="false">IF(AND(ISNUMBER(SEARCH(" RB "," "&amp;SUBSTITUTE($I228,","," ")&amp;" ")),ISNUMBER($L228)),$L228,"")</f>
        <v/>
      </c>
    </row>
    <row r="229" customFormat="false" ht="15" hidden="false" customHeight="false" outlineLevel="0" collapsed="false">
      <c r="M229" s="13" t="str">
        <f aca="false">IF(ISNUMBER(L229),IF(L229&lt;K229,"Gap","OK"),IF(L229="N/A","N/A",""))</f>
        <v/>
      </c>
      <c r="P229" s="13" t="str">
        <f aca="false">IF(AND(M229="Gap",N229&lt;&gt;"",O229&lt;&gt;""),VLOOKUP(N229&amp;O229,Lists!$H$4:$I$12,2,FALSE()),"")</f>
        <v/>
      </c>
      <c r="Q229" s="13" t="str">
        <f aca="false">IF(AND(M229="Gap",O229="S",OR(N229="H",N229="M")),"Yes","")</f>
        <v/>
      </c>
      <c r="S229" s="14" t="str">
        <f aca="false">IF(A229="","",IFERROR(IF(OR(VLOOKUP(A229,AutoEvidence!$A$2:$G$400,2,FALSE())="Collected",VLOOKUP(A229,AutoEvidence!$A$2:$G$400,2,FALSE())="Partial"),VLOOKUP(A229,AutoEvidence!$A$2:$G$400,3,FALSE())&amp;" ("&amp;VLOOKUP(A229,AutoEvidence!$A$2:$G$400,2,FALSE())&amp;")",VLOOKUP(A229,AutoEvidence!$A$2:$G$400,2,FALSE())),""))</f>
        <v/>
      </c>
      <c r="T229" s="7" t="str">
        <f aca="false">IF(A229="","",IFERROR(VLOOKUP(A229,AutoEvidence!$A$2:$G$400,4,FALSE())&amp;"",""))</f>
        <v/>
      </c>
      <c r="AB229" s="13" t="str">
        <f aca="false">IF(M229="Gap",1,IF(M229="OK",0,""))</f>
        <v/>
      </c>
      <c r="AC229" s="16" t="str">
        <f aca="false">IF(P229&lt;&gt;"",VALUE(RIGHT(P229,1))*1000+ROW(),"")</f>
        <v/>
      </c>
      <c r="AD229" s="16" t="str">
        <f aca="false">IF(ISNUMBER(L229),MIN(L229,K229),"")</f>
        <v/>
      </c>
      <c r="AE229" s="16" t="str">
        <f aca="false">IF(AND(ISNUMBER(SEARCH(" PA "," "&amp;SUBSTITUTE($I229,","," ")&amp;" ")),ISNUMBER($L229)),$L229,"")</f>
        <v/>
      </c>
      <c r="AF229" s="16" t="str">
        <f aca="false">IF(AND(ISNUMBER(SEARCH(" PO "," "&amp;SUBSTITUTE($I229,","," ")&amp;" ")),ISNUMBER($L229)),$L229,"")</f>
        <v/>
      </c>
      <c r="AG229" s="16" t="str">
        <f aca="false">IF(AND(ISNUMBER(SEARCH(" MFA "," "&amp;SUBSTITUTE($I229,","," ")&amp;" ")),ISNUMBER($L229)),$L229,"")</f>
        <v/>
      </c>
      <c r="AH229" s="16" t="str">
        <f aca="false">IF(AND(ISNUMBER(SEARCH(" RAP "," "&amp;SUBSTITUTE($I229,","," ")&amp;" ")),ISNUMBER($L229)),$L229,"")</f>
        <v/>
      </c>
      <c r="AI229" s="16" t="str">
        <f aca="false">IF(AND(ISNUMBER(SEARCH(" AC "," "&amp;SUBSTITUTE($I229,","," ")&amp;" ")),ISNUMBER($L229)),$L229,"")</f>
        <v/>
      </c>
      <c r="AJ229" s="16" t="str">
        <f aca="false">IF(AND(ISNUMBER(SEARCH(" MAC "," "&amp;SUBSTITUTE($I229,","," ")&amp;" ")),ISNUMBER($L229)),$L229,"")</f>
        <v/>
      </c>
      <c r="AK229" s="16" t="str">
        <f aca="false">IF(AND(ISNUMBER(SEARCH(" UAH "," "&amp;SUBSTITUTE($I229,","," ")&amp;" ")),ISNUMBER($L229)),$L229,"")</f>
        <v/>
      </c>
      <c r="AL229" s="16" t="str">
        <f aca="false">IF(AND(ISNUMBER(SEARCH(" RB "," "&amp;SUBSTITUTE($I229,","," ")&amp;" ")),ISNUMBER($L229)),$L229,"")</f>
        <v/>
      </c>
    </row>
    <row r="230" customFormat="false" ht="15" hidden="false" customHeight="false" outlineLevel="0" collapsed="false">
      <c r="M230" s="13" t="str">
        <f aca="false">IF(ISNUMBER(L230),IF(L230&lt;K230,"Gap","OK"),IF(L230="N/A","N/A",""))</f>
        <v/>
      </c>
      <c r="P230" s="13" t="str">
        <f aca="false">IF(AND(M230="Gap",N230&lt;&gt;"",O230&lt;&gt;""),VLOOKUP(N230&amp;O230,Lists!$H$4:$I$12,2,FALSE()),"")</f>
        <v/>
      </c>
      <c r="Q230" s="13" t="str">
        <f aca="false">IF(AND(M230="Gap",O230="S",OR(N230="H",N230="M")),"Yes","")</f>
        <v/>
      </c>
      <c r="S230" s="14" t="str">
        <f aca="false">IF(A230="","",IFERROR(IF(OR(VLOOKUP(A230,AutoEvidence!$A$2:$G$400,2,FALSE())="Collected",VLOOKUP(A230,AutoEvidence!$A$2:$G$400,2,FALSE())="Partial"),VLOOKUP(A230,AutoEvidence!$A$2:$G$400,3,FALSE())&amp;" ("&amp;VLOOKUP(A230,AutoEvidence!$A$2:$G$400,2,FALSE())&amp;")",VLOOKUP(A230,AutoEvidence!$A$2:$G$400,2,FALSE())),""))</f>
        <v/>
      </c>
      <c r="T230" s="7" t="str">
        <f aca="false">IF(A230="","",IFERROR(VLOOKUP(A230,AutoEvidence!$A$2:$G$400,4,FALSE())&amp;"",""))</f>
        <v/>
      </c>
      <c r="AB230" s="13" t="str">
        <f aca="false">IF(M230="Gap",1,IF(M230="OK",0,""))</f>
        <v/>
      </c>
      <c r="AC230" s="16" t="str">
        <f aca="false">IF(P230&lt;&gt;"",VALUE(RIGHT(P230,1))*1000+ROW(),"")</f>
        <v/>
      </c>
      <c r="AD230" s="16" t="str">
        <f aca="false">IF(ISNUMBER(L230),MIN(L230,K230),"")</f>
        <v/>
      </c>
      <c r="AE230" s="16" t="str">
        <f aca="false">IF(AND(ISNUMBER(SEARCH(" PA "," "&amp;SUBSTITUTE($I230,","," ")&amp;" ")),ISNUMBER($L230)),$L230,"")</f>
        <v/>
      </c>
      <c r="AF230" s="16" t="str">
        <f aca="false">IF(AND(ISNUMBER(SEARCH(" PO "," "&amp;SUBSTITUTE($I230,","," ")&amp;" ")),ISNUMBER($L230)),$L230,"")</f>
        <v/>
      </c>
      <c r="AG230" s="16" t="str">
        <f aca="false">IF(AND(ISNUMBER(SEARCH(" MFA "," "&amp;SUBSTITUTE($I230,","," ")&amp;" ")),ISNUMBER($L230)),$L230,"")</f>
        <v/>
      </c>
      <c r="AH230" s="16" t="str">
        <f aca="false">IF(AND(ISNUMBER(SEARCH(" RAP "," "&amp;SUBSTITUTE($I230,","," ")&amp;" ")),ISNUMBER($L230)),$L230,"")</f>
        <v/>
      </c>
      <c r="AI230" s="16" t="str">
        <f aca="false">IF(AND(ISNUMBER(SEARCH(" AC "," "&amp;SUBSTITUTE($I230,","," ")&amp;" ")),ISNUMBER($L230)),$L230,"")</f>
        <v/>
      </c>
      <c r="AJ230" s="16" t="str">
        <f aca="false">IF(AND(ISNUMBER(SEARCH(" MAC "," "&amp;SUBSTITUTE($I230,","," ")&amp;" ")),ISNUMBER($L230)),$L230,"")</f>
        <v/>
      </c>
      <c r="AK230" s="16" t="str">
        <f aca="false">IF(AND(ISNUMBER(SEARCH(" UAH "," "&amp;SUBSTITUTE($I230,","," ")&amp;" ")),ISNUMBER($L230)),$L230,"")</f>
        <v/>
      </c>
      <c r="AL230" s="16" t="str">
        <f aca="false">IF(AND(ISNUMBER(SEARCH(" RB "," "&amp;SUBSTITUTE($I230,","," ")&amp;" ")),ISNUMBER($L230)),$L230,"")</f>
        <v/>
      </c>
    </row>
    <row r="231" customFormat="false" ht="15" hidden="false" customHeight="false" outlineLevel="0" collapsed="false">
      <c r="M231" s="13" t="str">
        <f aca="false">IF(ISNUMBER(L231),IF(L231&lt;K231,"Gap","OK"),IF(L231="N/A","N/A",""))</f>
        <v/>
      </c>
      <c r="P231" s="13" t="str">
        <f aca="false">IF(AND(M231="Gap",N231&lt;&gt;"",O231&lt;&gt;""),VLOOKUP(N231&amp;O231,Lists!$H$4:$I$12,2,FALSE()),"")</f>
        <v/>
      </c>
      <c r="Q231" s="13" t="str">
        <f aca="false">IF(AND(M231="Gap",O231="S",OR(N231="H",N231="M")),"Yes","")</f>
        <v/>
      </c>
      <c r="S231" s="14" t="str">
        <f aca="false">IF(A231="","",IFERROR(IF(OR(VLOOKUP(A231,AutoEvidence!$A$2:$G$400,2,FALSE())="Collected",VLOOKUP(A231,AutoEvidence!$A$2:$G$400,2,FALSE())="Partial"),VLOOKUP(A231,AutoEvidence!$A$2:$G$400,3,FALSE())&amp;" ("&amp;VLOOKUP(A231,AutoEvidence!$A$2:$G$400,2,FALSE())&amp;")",VLOOKUP(A231,AutoEvidence!$A$2:$G$400,2,FALSE())),""))</f>
        <v/>
      </c>
      <c r="T231" s="7" t="str">
        <f aca="false">IF(A231="","",IFERROR(VLOOKUP(A231,AutoEvidence!$A$2:$G$400,4,FALSE())&amp;"",""))</f>
        <v/>
      </c>
      <c r="AB231" s="13" t="str">
        <f aca="false">IF(M231="Gap",1,IF(M231="OK",0,""))</f>
        <v/>
      </c>
      <c r="AC231" s="16" t="str">
        <f aca="false">IF(P231&lt;&gt;"",VALUE(RIGHT(P231,1))*1000+ROW(),"")</f>
        <v/>
      </c>
      <c r="AD231" s="16" t="str">
        <f aca="false">IF(ISNUMBER(L231),MIN(L231,K231),"")</f>
        <v/>
      </c>
      <c r="AE231" s="16" t="str">
        <f aca="false">IF(AND(ISNUMBER(SEARCH(" PA "," "&amp;SUBSTITUTE($I231,","," ")&amp;" ")),ISNUMBER($L231)),$L231,"")</f>
        <v/>
      </c>
      <c r="AF231" s="16" t="str">
        <f aca="false">IF(AND(ISNUMBER(SEARCH(" PO "," "&amp;SUBSTITUTE($I231,","," ")&amp;" ")),ISNUMBER($L231)),$L231,"")</f>
        <v/>
      </c>
      <c r="AG231" s="16" t="str">
        <f aca="false">IF(AND(ISNUMBER(SEARCH(" MFA "," "&amp;SUBSTITUTE($I231,","," ")&amp;" ")),ISNUMBER($L231)),$L231,"")</f>
        <v/>
      </c>
      <c r="AH231" s="16" t="str">
        <f aca="false">IF(AND(ISNUMBER(SEARCH(" RAP "," "&amp;SUBSTITUTE($I231,","," ")&amp;" ")),ISNUMBER($L231)),$L231,"")</f>
        <v/>
      </c>
      <c r="AI231" s="16" t="str">
        <f aca="false">IF(AND(ISNUMBER(SEARCH(" AC "," "&amp;SUBSTITUTE($I231,","," ")&amp;" ")),ISNUMBER($L231)),$L231,"")</f>
        <v/>
      </c>
      <c r="AJ231" s="16" t="str">
        <f aca="false">IF(AND(ISNUMBER(SEARCH(" MAC "," "&amp;SUBSTITUTE($I231,","," ")&amp;" ")),ISNUMBER($L231)),$L231,"")</f>
        <v/>
      </c>
      <c r="AK231" s="16" t="str">
        <f aca="false">IF(AND(ISNUMBER(SEARCH(" UAH "," "&amp;SUBSTITUTE($I231,","," ")&amp;" ")),ISNUMBER($L231)),$L231,"")</f>
        <v/>
      </c>
      <c r="AL231" s="16" t="str">
        <f aca="false">IF(AND(ISNUMBER(SEARCH(" RB "," "&amp;SUBSTITUTE($I231,","," ")&amp;" ")),ISNUMBER($L231)),$L231,"")</f>
        <v/>
      </c>
    </row>
    <row r="232" customFormat="false" ht="15" hidden="false" customHeight="false" outlineLevel="0" collapsed="false">
      <c r="M232" s="13" t="str">
        <f aca="false">IF(ISNUMBER(L232),IF(L232&lt;K232,"Gap","OK"),IF(L232="N/A","N/A",""))</f>
        <v/>
      </c>
      <c r="P232" s="13" t="str">
        <f aca="false">IF(AND(M232="Gap",N232&lt;&gt;"",O232&lt;&gt;""),VLOOKUP(N232&amp;O232,Lists!$H$4:$I$12,2,FALSE()),"")</f>
        <v/>
      </c>
      <c r="Q232" s="13" t="str">
        <f aca="false">IF(AND(M232="Gap",O232="S",OR(N232="H",N232="M")),"Yes","")</f>
        <v/>
      </c>
      <c r="S232" s="14" t="str">
        <f aca="false">IF(A232="","",IFERROR(IF(OR(VLOOKUP(A232,AutoEvidence!$A$2:$G$400,2,FALSE())="Collected",VLOOKUP(A232,AutoEvidence!$A$2:$G$400,2,FALSE())="Partial"),VLOOKUP(A232,AutoEvidence!$A$2:$G$400,3,FALSE())&amp;" ("&amp;VLOOKUP(A232,AutoEvidence!$A$2:$G$400,2,FALSE())&amp;")",VLOOKUP(A232,AutoEvidence!$A$2:$G$400,2,FALSE())),""))</f>
        <v/>
      </c>
      <c r="T232" s="7" t="str">
        <f aca="false">IF(A232="","",IFERROR(VLOOKUP(A232,AutoEvidence!$A$2:$G$400,4,FALSE())&amp;"",""))</f>
        <v/>
      </c>
      <c r="AB232" s="13" t="str">
        <f aca="false">IF(M232="Gap",1,IF(M232="OK",0,""))</f>
        <v/>
      </c>
      <c r="AC232" s="16" t="str">
        <f aca="false">IF(P232&lt;&gt;"",VALUE(RIGHT(P232,1))*1000+ROW(),"")</f>
        <v/>
      </c>
      <c r="AD232" s="16" t="str">
        <f aca="false">IF(ISNUMBER(L232),MIN(L232,K232),"")</f>
        <v/>
      </c>
      <c r="AE232" s="16" t="str">
        <f aca="false">IF(AND(ISNUMBER(SEARCH(" PA "," "&amp;SUBSTITUTE($I232,","," ")&amp;" ")),ISNUMBER($L232)),$L232,"")</f>
        <v/>
      </c>
      <c r="AF232" s="16" t="str">
        <f aca="false">IF(AND(ISNUMBER(SEARCH(" PO "," "&amp;SUBSTITUTE($I232,","," ")&amp;" ")),ISNUMBER($L232)),$L232,"")</f>
        <v/>
      </c>
      <c r="AG232" s="16" t="str">
        <f aca="false">IF(AND(ISNUMBER(SEARCH(" MFA "," "&amp;SUBSTITUTE($I232,","," ")&amp;" ")),ISNUMBER($L232)),$L232,"")</f>
        <v/>
      </c>
      <c r="AH232" s="16" t="str">
        <f aca="false">IF(AND(ISNUMBER(SEARCH(" RAP "," "&amp;SUBSTITUTE($I232,","," ")&amp;" ")),ISNUMBER($L232)),$L232,"")</f>
        <v/>
      </c>
      <c r="AI232" s="16" t="str">
        <f aca="false">IF(AND(ISNUMBER(SEARCH(" AC "," "&amp;SUBSTITUTE($I232,","," ")&amp;" ")),ISNUMBER($L232)),$L232,"")</f>
        <v/>
      </c>
      <c r="AJ232" s="16" t="str">
        <f aca="false">IF(AND(ISNUMBER(SEARCH(" MAC "," "&amp;SUBSTITUTE($I232,","," ")&amp;" ")),ISNUMBER($L232)),$L232,"")</f>
        <v/>
      </c>
      <c r="AK232" s="16" t="str">
        <f aca="false">IF(AND(ISNUMBER(SEARCH(" UAH "," "&amp;SUBSTITUTE($I232,","," ")&amp;" ")),ISNUMBER($L232)),$L232,"")</f>
        <v/>
      </c>
      <c r="AL232" s="16" t="str">
        <f aca="false">IF(AND(ISNUMBER(SEARCH(" RB "," "&amp;SUBSTITUTE($I232,","," ")&amp;" ")),ISNUMBER($L232)),$L232,"")</f>
        <v/>
      </c>
    </row>
    <row r="233" customFormat="false" ht="15" hidden="false" customHeight="false" outlineLevel="0" collapsed="false">
      <c r="M233" s="13" t="str">
        <f aca="false">IF(ISNUMBER(L233),IF(L233&lt;K233,"Gap","OK"),IF(L233="N/A","N/A",""))</f>
        <v/>
      </c>
      <c r="P233" s="13" t="str">
        <f aca="false">IF(AND(M233="Gap",N233&lt;&gt;"",O233&lt;&gt;""),VLOOKUP(N233&amp;O233,Lists!$H$4:$I$12,2,FALSE()),"")</f>
        <v/>
      </c>
      <c r="Q233" s="13" t="str">
        <f aca="false">IF(AND(M233="Gap",O233="S",OR(N233="H",N233="M")),"Yes","")</f>
        <v/>
      </c>
      <c r="S233" s="14" t="str">
        <f aca="false">IF(A233="","",IFERROR(IF(OR(VLOOKUP(A233,AutoEvidence!$A$2:$G$400,2,FALSE())="Collected",VLOOKUP(A233,AutoEvidence!$A$2:$G$400,2,FALSE())="Partial"),VLOOKUP(A233,AutoEvidence!$A$2:$G$400,3,FALSE())&amp;" ("&amp;VLOOKUP(A233,AutoEvidence!$A$2:$G$400,2,FALSE())&amp;")",VLOOKUP(A233,AutoEvidence!$A$2:$G$400,2,FALSE())),""))</f>
        <v/>
      </c>
      <c r="T233" s="7" t="str">
        <f aca="false">IF(A233="","",IFERROR(VLOOKUP(A233,AutoEvidence!$A$2:$G$400,4,FALSE())&amp;"",""))</f>
        <v/>
      </c>
      <c r="AB233" s="13" t="str">
        <f aca="false">IF(M233="Gap",1,IF(M233="OK",0,""))</f>
        <v/>
      </c>
      <c r="AC233" s="16" t="str">
        <f aca="false">IF(P233&lt;&gt;"",VALUE(RIGHT(P233,1))*1000+ROW(),"")</f>
        <v/>
      </c>
      <c r="AD233" s="16" t="str">
        <f aca="false">IF(ISNUMBER(L233),MIN(L233,K233),"")</f>
        <v/>
      </c>
      <c r="AE233" s="16" t="str">
        <f aca="false">IF(AND(ISNUMBER(SEARCH(" PA "," "&amp;SUBSTITUTE($I233,","," ")&amp;" ")),ISNUMBER($L233)),$L233,"")</f>
        <v/>
      </c>
      <c r="AF233" s="16" t="str">
        <f aca="false">IF(AND(ISNUMBER(SEARCH(" PO "," "&amp;SUBSTITUTE($I233,","," ")&amp;" ")),ISNUMBER($L233)),$L233,"")</f>
        <v/>
      </c>
      <c r="AG233" s="16" t="str">
        <f aca="false">IF(AND(ISNUMBER(SEARCH(" MFA "," "&amp;SUBSTITUTE($I233,","," ")&amp;" ")),ISNUMBER($L233)),$L233,"")</f>
        <v/>
      </c>
      <c r="AH233" s="16" t="str">
        <f aca="false">IF(AND(ISNUMBER(SEARCH(" RAP "," "&amp;SUBSTITUTE($I233,","," ")&amp;" ")),ISNUMBER($L233)),$L233,"")</f>
        <v/>
      </c>
      <c r="AI233" s="16" t="str">
        <f aca="false">IF(AND(ISNUMBER(SEARCH(" AC "," "&amp;SUBSTITUTE($I233,","," ")&amp;" ")),ISNUMBER($L233)),$L233,"")</f>
        <v/>
      </c>
      <c r="AJ233" s="16" t="str">
        <f aca="false">IF(AND(ISNUMBER(SEARCH(" MAC "," "&amp;SUBSTITUTE($I233,","," ")&amp;" ")),ISNUMBER($L233)),$L233,"")</f>
        <v/>
      </c>
      <c r="AK233" s="16" t="str">
        <f aca="false">IF(AND(ISNUMBER(SEARCH(" UAH "," "&amp;SUBSTITUTE($I233,","," ")&amp;" ")),ISNUMBER($L233)),$L233,"")</f>
        <v/>
      </c>
      <c r="AL233" s="16" t="str">
        <f aca="false">IF(AND(ISNUMBER(SEARCH(" RB "," "&amp;SUBSTITUTE($I233,","," ")&amp;" ")),ISNUMBER($L233)),$L233,"")</f>
        <v/>
      </c>
    </row>
    <row r="234" customFormat="false" ht="15" hidden="false" customHeight="false" outlineLevel="0" collapsed="false">
      <c r="M234" s="13" t="str">
        <f aca="false">IF(ISNUMBER(L234),IF(L234&lt;K234,"Gap","OK"),IF(L234="N/A","N/A",""))</f>
        <v/>
      </c>
      <c r="P234" s="13" t="str">
        <f aca="false">IF(AND(M234="Gap",N234&lt;&gt;"",O234&lt;&gt;""),VLOOKUP(N234&amp;O234,Lists!$H$4:$I$12,2,FALSE()),"")</f>
        <v/>
      </c>
      <c r="Q234" s="13" t="str">
        <f aca="false">IF(AND(M234="Gap",O234="S",OR(N234="H",N234="M")),"Yes","")</f>
        <v/>
      </c>
      <c r="S234" s="14" t="str">
        <f aca="false">IF(A234="","",IFERROR(IF(OR(VLOOKUP(A234,AutoEvidence!$A$2:$G$400,2,FALSE())="Collected",VLOOKUP(A234,AutoEvidence!$A$2:$G$400,2,FALSE())="Partial"),VLOOKUP(A234,AutoEvidence!$A$2:$G$400,3,FALSE())&amp;" ("&amp;VLOOKUP(A234,AutoEvidence!$A$2:$G$400,2,FALSE())&amp;")",VLOOKUP(A234,AutoEvidence!$A$2:$G$400,2,FALSE())),""))</f>
        <v/>
      </c>
      <c r="T234" s="7" t="str">
        <f aca="false">IF(A234="","",IFERROR(VLOOKUP(A234,AutoEvidence!$A$2:$G$400,4,FALSE())&amp;"",""))</f>
        <v/>
      </c>
      <c r="AB234" s="13" t="str">
        <f aca="false">IF(M234="Gap",1,IF(M234="OK",0,""))</f>
        <v/>
      </c>
      <c r="AC234" s="16" t="str">
        <f aca="false">IF(P234&lt;&gt;"",VALUE(RIGHT(P234,1))*1000+ROW(),"")</f>
        <v/>
      </c>
      <c r="AD234" s="16" t="str">
        <f aca="false">IF(ISNUMBER(L234),MIN(L234,K234),"")</f>
        <v/>
      </c>
      <c r="AE234" s="16" t="str">
        <f aca="false">IF(AND(ISNUMBER(SEARCH(" PA "," "&amp;SUBSTITUTE($I234,","," ")&amp;" ")),ISNUMBER($L234)),$L234,"")</f>
        <v/>
      </c>
      <c r="AF234" s="16" t="str">
        <f aca="false">IF(AND(ISNUMBER(SEARCH(" PO "," "&amp;SUBSTITUTE($I234,","," ")&amp;" ")),ISNUMBER($L234)),$L234,"")</f>
        <v/>
      </c>
      <c r="AG234" s="16" t="str">
        <f aca="false">IF(AND(ISNUMBER(SEARCH(" MFA "," "&amp;SUBSTITUTE($I234,","," ")&amp;" ")),ISNUMBER($L234)),$L234,"")</f>
        <v/>
      </c>
      <c r="AH234" s="16" t="str">
        <f aca="false">IF(AND(ISNUMBER(SEARCH(" RAP "," "&amp;SUBSTITUTE($I234,","," ")&amp;" ")),ISNUMBER($L234)),$L234,"")</f>
        <v/>
      </c>
      <c r="AI234" s="16" t="str">
        <f aca="false">IF(AND(ISNUMBER(SEARCH(" AC "," "&amp;SUBSTITUTE($I234,","," ")&amp;" ")),ISNUMBER($L234)),$L234,"")</f>
        <v/>
      </c>
      <c r="AJ234" s="16" t="str">
        <f aca="false">IF(AND(ISNUMBER(SEARCH(" MAC "," "&amp;SUBSTITUTE($I234,","," ")&amp;" ")),ISNUMBER($L234)),$L234,"")</f>
        <v/>
      </c>
      <c r="AK234" s="16" t="str">
        <f aca="false">IF(AND(ISNUMBER(SEARCH(" UAH "," "&amp;SUBSTITUTE($I234,","," ")&amp;" ")),ISNUMBER($L234)),$L234,"")</f>
        <v/>
      </c>
      <c r="AL234" s="16" t="str">
        <f aca="false">IF(AND(ISNUMBER(SEARCH(" RB "," "&amp;SUBSTITUTE($I234,","," ")&amp;" ")),ISNUMBER($L234)),$L234,"")</f>
        <v/>
      </c>
    </row>
    <row r="235" customFormat="false" ht="15" hidden="false" customHeight="false" outlineLevel="0" collapsed="false">
      <c r="M235" s="13" t="str">
        <f aca="false">IF(ISNUMBER(L235),IF(L235&lt;K235,"Gap","OK"),IF(L235="N/A","N/A",""))</f>
        <v/>
      </c>
      <c r="P235" s="13" t="str">
        <f aca="false">IF(AND(M235="Gap",N235&lt;&gt;"",O235&lt;&gt;""),VLOOKUP(N235&amp;O235,Lists!$H$4:$I$12,2,FALSE()),"")</f>
        <v/>
      </c>
      <c r="Q235" s="13" t="str">
        <f aca="false">IF(AND(M235="Gap",O235="S",OR(N235="H",N235="M")),"Yes","")</f>
        <v/>
      </c>
      <c r="S235" s="14" t="str">
        <f aca="false">IF(A235="","",IFERROR(IF(OR(VLOOKUP(A235,AutoEvidence!$A$2:$G$400,2,FALSE())="Collected",VLOOKUP(A235,AutoEvidence!$A$2:$G$400,2,FALSE())="Partial"),VLOOKUP(A235,AutoEvidence!$A$2:$G$400,3,FALSE())&amp;" ("&amp;VLOOKUP(A235,AutoEvidence!$A$2:$G$400,2,FALSE())&amp;")",VLOOKUP(A235,AutoEvidence!$A$2:$G$400,2,FALSE())),""))</f>
        <v/>
      </c>
      <c r="T235" s="7" t="str">
        <f aca="false">IF(A235="","",IFERROR(VLOOKUP(A235,AutoEvidence!$A$2:$G$400,4,FALSE())&amp;"",""))</f>
        <v/>
      </c>
      <c r="AB235" s="13" t="str">
        <f aca="false">IF(M235="Gap",1,IF(M235="OK",0,""))</f>
        <v/>
      </c>
      <c r="AC235" s="16" t="str">
        <f aca="false">IF(P235&lt;&gt;"",VALUE(RIGHT(P235,1))*1000+ROW(),"")</f>
        <v/>
      </c>
      <c r="AD235" s="16" t="str">
        <f aca="false">IF(ISNUMBER(L235),MIN(L235,K235),"")</f>
        <v/>
      </c>
      <c r="AE235" s="16" t="str">
        <f aca="false">IF(AND(ISNUMBER(SEARCH(" PA "," "&amp;SUBSTITUTE($I235,","," ")&amp;" ")),ISNUMBER($L235)),$L235,"")</f>
        <v/>
      </c>
      <c r="AF235" s="16" t="str">
        <f aca="false">IF(AND(ISNUMBER(SEARCH(" PO "," "&amp;SUBSTITUTE($I235,","," ")&amp;" ")),ISNUMBER($L235)),$L235,"")</f>
        <v/>
      </c>
      <c r="AG235" s="16" t="str">
        <f aca="false">IF(AND(ISNUMBER(SEARCH(" MFA "," "&amp;SUBSTITUTE($I235,","," ")&amp;" ")),ISNUMBER($L235)),$L235,"")</f>
        <v/>
      </c>
      <c r="AH235" s="16" t="str">
        <f aca="false">IF(AND(ISNUMBER(SEARCH(" RAP "," "&amp;SUBSTITUTE($I235,","," ")&amp;" ")),ISNUMBER($L235)),$L235,"")</f>
        <v/>
      </c>
      <c r="AI235" s="16" t="str">
        <f aca="false">IF(AND(ISNUMBER(SEARCH(" AC "," "&amp;SUBSTITUTE($I235,","," ")&amp;" ")),ISNUMBER($L235)),$L235,"")</f>
        <v/>
      </c>
      <c r="AJ235" s="16" t="str">
        <f aca="false">IF(AND(ISNUMBER(SEARCH(" MAC "," "&amp;SUBSTITUTE($I235,","," ")&amp;" ")),ISNUMBER($L235)),$L235,"")</f>
        <v/>
      </c>
      <c r="AK235" s="16" t="str">
        <f aca="false">IF(AND(ISNUMBER(SEARCH(" UAH "," "&amp;SUBSTITUTE($I235,","," ")&amp;" ")),ISNUMBER($L235)),$L235,"")</f>
        <v/>
      </c>
      <c r="AL235" s="16" t="str">
        <f aca="false">IF(AND(ISNUMBER(SEARCH(" RB "," "&amp;SUBSTITUTE($I235,","," ")&amp;" ")),ISNUMBER($L235)),$L235,"")</f>
        <v/>
      </c>
    </row>
    <row r="236" customFormat="false" ht="15" hidden="false" customHeight="false" outlineLevel="0" collapsed="false">
      <c r="M236" s="13" t="str">
        <f aca="false">IF(ISNUMBER(L236),IF(L236&lt;K236,"Gap","OK"),IF(L236="N/A","N/A",""))</f>
        <v/>
      </c>
      <c r="P236" s="13" t="str">
        <f aca="false">IF(AND(M236="Gap",N236&lt;&gt;"",O236&lt;&gt;""),VLOOKUP(N236&amp;O236,Lists!$H$4:$I$12,2,FALSE()),"")</f>
        <v/>
      </c>
      <c r="Q236" s="13" t="str">
        <f aca="false">IF(AND(M236="Gap",O236="S",OR(N236="H",N236="M")),"Yes","")</f>
        <v/>
      </c>
      <c r="S236" s="14" t="str">
        <f aca="false">IF(A236="","",IFERROR(IF(OR(VLOOKUP(A236,AutoEvidence!$A$2:$G$400,2,FALSE())="Collected",VLOOKUP(A236,AutoEvidence!$A$2:$G$400,2,FALSE())="Partial"),VLOOKUP(A236,AutoEvidence!$A$2:$G$400,3,FALSE())&amp;" ("&amp;VLOOKUP(A236,AutoEvidence!$A$2:$G$400,2,FALSE())&amp;")",VLOOKUP(A236,AutoEvidence!$A$2:$G$400,2,FALSE())),""))</f>
        <v/>
      </c>
      <c r="T236" s="7" t="str">
        <f aca="false">IF(A236="","",IFERROR(VLOOKUP(A236,AutoEvidence!$A$2:$G$400,4,FALSE())&amp;"",""))</f>
        <v/>
      </c>
      <c r="AB236" s="13" t="str">
        <f aca="false">IF(M236="Gap",1,IF(M236="OK",0,""))</f>
        <v/>
      </c>
      <c r="AC236" s="16" t="str">
        <f aca="false">IF(P236&lt;&gt;"",VALUE(RIGHT(P236,1))*1000+ROW(),"")</f>
        <v/>
      </c>
      <c r="AD236" s="16" t="str">
        <f aca="false">IF(ISNUMBER(L236),MIN(L236,K236),"")</f>
        <v/>
      </c>
      <c r="AE236" s="16" t="str">
        <f aca="false">IF(AND(ISNUMBER(SEARCH(" PA "," "&amp;SUBSTITUTE($I236,","," ")&amp;" ")),ISNUMBER($L236)),$L236,"")</f>
        <v/>
      </c>
      <c r="AF236" s="16" t="str">
        <f aca="false">IF(AND(ISNUMBER(SEARCH(" PO "," "&amp;SUBSTITUTE($I236,","," ")&amp;" ")),ISNUMBER($L236)),$L236,"")</f>
        <v/>
      </c>
      <c r="AG236" s="16" t="str">
        <f aca="false">IF(AND(ISNUMBER(SEARCH(" MFA "," "&amp;SUBSTITUTE($I236,","," ")&amp;" ")),ISNUMBER($L236)),$L236,"")</f>
        <v/>
      </c>
      <c r="AH236" s="16" t="str">
        <f aca="false">IF(AND(ISNUMBER(SEARCH(" RAP "," "&amp;SUBSTITUTE($I236,","," ")&amp;" ")),ISNUMBER($L236)),$L236,"")</f>
        <v/>
      </c>
      <c r="AI236" s="16" t="str">
        <f aca="false">IF(AND(ISNUMBER(SEARCH(" AC "," "&amp;SUBSTITUTE($I236,","," ")&amp;" ")),ISNUMBER($L236)),$L236,"")</f>
        <v/>
      </c>
      <c r="AJ236" s="16" t="str">
        <f aca="false">IF(AND(ISNUMBER(SEARCH(" MAC "," "&amp;SUBSTITUTE($I236,","," ")&amp;" ")),ISNUMBER($L236)),$L236,"")</f>
        <v/>
      </c>
      <c r="AK236" s="16" t="str">
        <f aca="false">IF(AND(ISNUMBER(SEARCH(" UAH "," "&amp;SUBSTITUTE($I236,","," ")&amp;" ")),ISNUMBER($L236)),$L236,"")</f>
        <v/>
      </c>
      <c r="AL236" s="16" t="str">
        <f aca="false">IF(AND(ISNUMBER(SEARCH(" RB "," "&amp;SUBSTITUTE($I236,","," ")&amp;" ")),ISNUMBER($L236)),$L236,"")</f>
        <v/>
      </c>
    </row>
    <row r="237" customFormat="false" ht="15" hidden="false" customHeight="false" outlineLevel="0" collapsed="false">
      <c r="M237" s="13" t="str">
        <f aca="false">IF(ISNUMBER(L237),IF(L237&lt;K237,"Gap","OK"),IF(L237="N/A","N/A",""))</f>
        <v/>
      </c>
      <c r="P237" s="13" t="str">
        <f aca="false">IF(AND(M237="Gap",N237&lt;&gt;"",O237&lt;&gt;""),VLOOKUP(N237&amp;O237,Lists!$H$4:$I$12,2,FALSE()),"")</f>
        <v/>
      </c>
      <c r="Q237" s="13" t="str">
        <f aca="false">IF(AND(M237="Gap",O237="S",OR(N237="H",N237="M")),"Yes","")</f>
        <v/>
      </c>
      <c r="S237" s="14" t="str">
        <f aca="false">IF(A237="","",IFERROR(IF(OR(VLOOKUP(A237,AutoEvidence!$A$2:$G$400,2,FALSE())="Collected",VLOOKUP(A237,AutoEvidence!$A$2:$G$400,2,FALSE())="Partial"),VLOOKUP(A237,AutoEvidence!$A$2:$G$400,3,FALSE())&amp;" ("&amp;VLOOKUP(A237,AutoEvidence!$A$2:$G$400,2,FALSE())&amp;")",VLOOKUP(A237,AutoEvidence!$A$2:$G$400,2,FALSE())),""))</f>
        <v/>
      </c>
      <c r="T237" s="7" t="str">
        <f aca="false">IF(A237="","",IFERROR(VLOOKUP(A237,AutoEvidence!$A$2:$G$400,4,FALSE())&amp;"",""))</f>
        <v/>
      </c>
      <c r="AB237" s="13" t="str">
        <f aca="false">IF(M237="Gap",1,IF(M237="OK",0,""))</f>
        <v/>
      </c>
      <c r="AC237" s="16" t="str">
        <f aca="false">IF(P237&lt;&gt;"",VALUE(RIGHT(P237,1))*1000+ROW(),"")</f>
        <v/>
      </c>
      <c r="AD237" s="16" t="str">
        <f aca="false">IF(ISNUMBER(L237),MIN(L237,K237),"")</f>
        <v/>
      </c>
      <c r="AE237" s="16" t="str">
        <f aca="false">IF(AND(ISNUMBER(SEARCH(" PA "," "&amp;SUBSTITUTE($I237,","," ")&amp;" ")),ISNUMBER($L237)),$L237,"")</f>
        <v/>
      </c>
      <c r="AF237" s="16" t="str">
        <f aca="false">IF(AND(ISNUMBER(SEARCH(" PO "," "&amp;SUBSTITUTE($I237,","," ")&amp;" ")),ISNUMBER($L237)),$L237,"")</f>
        <v/>
      </c>
      <c r="AG237" s="16" t="str">
        <f aca="false">IF(AND(ISNUMBER(SEARCH(" MFA "," "&amp;SUBSTITUTE($I237,","," ")&amp;" ")),ISNUMBER($L237)),$L237,"")</f>
        <v/>
      </c>
      <c r="AH237" s="16" t="str">
        <f aca="false">IF(AND(ISNUMBER(SEARCH(" RAP "," "&amp;SUBSTITUTE($I237,","," ")&amp;" ")),ISNUMBER($L237)),$L237,"")</f>
        <v/>
      </c>
      <c r="AI237" s="16" t="str">
        <f aca="false">IF(AND(ISNUMBER(SEARCH(" AC "," "&amp;SUBSTITUTE($I237,","," ")&amp;" ")),ISNUMBER($L237)),$L237,"")</f>
        <v/>
      </c>
      <c r="AJ237" s="16" t="str">
        <f aca="false">IF(AND(ISNUMBER(SEARCH(" MAC "," "&amp;SUBSTITUTE($I237,","," ")&amp;" ")),ISNUMBER($L237)),$L237,"")</f>
        <v/>
      </c>
      <c r="AK237" s="16" t="str">
        <f aca="false">IF(AND(ISNUMBER(SEARCH(" UAH "," "&amp;SUBSTITUTE($I237,","," ")&amp;" ")),ISNUMBER($L237)),$L237,"")</f>
        <v/>
      </c>
      <c r="AL237" s="16" t="str">
        <f aca="false">IF(AND(ISNUMBER(SEARCH(" RB "," "&amp;SUBSTITUTE($I237,","," ")&amp;" ")),ISNUMBER($L237)),$L237,"")</f>
        <v/>
      </c>
    </row>
    <row r="238" customFormat="false" ht="15" hidden="false" customHeight="false" outlineLevel="0" collapsed="false">
      <c r="M238" s="13" t="str">
        <f aca="false">IF(ISNUMBER(L238),IF(L238&lt;K238,"Gap","OK"),IF(L238="N/A","N/A",""))</f>
        <v/>
      </c>
      <c r="P238" s="13" t="str">
        <f aca="false">IF(AND(M238="Gap",N238&lt;&gt;"",O238&lt;&gt;""),VLOOKUP(N238&amp;O238,Lists!$H$4:$I$12,2,FALSE()),"")</f>
        <v/>
      </c>
      <c r="Q238" s="13" t="str">
        <f aca="false">IF(AND(M238="Gap",O238="S",OR(N238="H",N238="M")),"Yes","")</f>
        <v/>
      </c>
      <c r="S238" s="14" t="str">
        <f aca="false">IF(A238="","",IFERROR(IF(OR(VLOOKUP(A238,AutoEvidence!$A$2:$G$400,2,FALSE())="Collected",VLOOKUP(A238,AutoEvidence!$A$2:$G$400,2,FALSE())="Partial"),VLOOKUP(A238,AutoEvidence!$A$2:$G$400,3,FALSE())&amp;" ("&amp;VLOOKUP(A238,AutoEvidence!$A$2:$G$400,2,FALSE())&amp;")",VLOOKUP(A238,AutoEvidence!$A$2:$G$400,2,FALSE())),""))</f>
        <v/>
      </c>
      <c r="T238" s="7" t="str">
        <f aca="false">IF(A238="","",IFERROR(VLOOKUP(A238,AutoEvidence!$A$2:$G$400,4,FALSE())&amp;"",""))</f>
        <v/>
      </c>
      <c r="AB238" s="13" t="str">
        <f aca="false">IF(M238="Gap",1,IF(M238="OK",0,""))</f>
        <v/>
      </c>
      <c r="AC238" s="16" t="str">
        <f aca="false">IF(P238&lt;&gt;"",VALUE(RIGHT(P238,1))*1000+ROW(),"")</f>
        <v/>
      </c>
      <c r="AD238" s="16" t="str">
        <f aca="false">IF(ISNUMBER(L238),MIN(L238,K238),"")</f>
        <v/>
      </c>
      <c r="AE238" s="16" t="str">
        <f aca="false">IF(AND(ISNUMBER(SEARCH(" PA "," "&amp;SUBSTITUTE($I238,","," ")&amp;" ")),ISNUMBER($L238)),$L238,"")</f>
        <v/>
      </c>
      <c r="AF238" s="16" t="str">
        <f aca="false">IF(AND(ISNUMBER(SEARCH(" PO "," "&amp;SUBSTITUTE($I238,","," ")&amp;" ")),ISNUMBER($L238)),$L238,"")</f>
        <v/>
      </c>
      <c r="AG238" s="16" t="str">
        <f aca="false">IF(AND(ISNUMBER(SEARCH(" MFA "," "&amp;SUBSTITUTE($I238,","," ")&amp;" ")),ISNUMBER($L238)),$L238,"")</f>
        <v/>
      </c>
      <c r="AH238" s="16" t="str">
        <f aca="false">IF(AND(ISNUMBER(SEARCH(" RAP "," "&amp;SUBSTITUTE($I238,","," ")&amp;" ")),ISNUMBER($L238)),$L238,"")</f>
        <v/>
      </c>
      <c r="AI238" s="16" t="str">
        <f aca="false">IF(AND(ISNUMBER(SEARCH(" AC "," "&amp;SUBSTITUTE($I238,","," ")&amp;" ")),ISNUMBER($L238)),$L238,"")</f>
        <v/>
      </c>
      <c r="AJ238" s="16" t="str">
        <f aca="false">IF(AND(ISNUMBER(SEARCH(" MAC "," "&amp;SUBSTITUTE($I238,","," ")&amp;" ")),ISNUMBER($L238)),$L238,"")</f>
        <v/>
      </c>
      <c r="AK238" s="16" t="str">
        <f aca="false">IF(AND(ISNUMBER(SEARCH(" UAH "," "&amp;SUBSTITUTE($I238,","," ")&amp;" ")),ISNUMBER($L238)),$L238,"")</f>
        <v/>
      </c>
      <c r="AL238" s="16" t="str">
        <f aca="false">IF(AND(ISNUMBER(SEARCH(" RB "," "&amp;SUBSTITUTE($I238,","," ")&amp;" ")),ISNUMBER($L238)),$L238,"")</f>
        <v/>
      </c>
    </row>
    <row r="239" customFormat="false" ht="15" hidden="false" customHeight="false" outlineLevel="0" collapsed="false">
      <c r="M239" s="13" t="str">
        <f aca="false">IF(ISNUMBER(L239),IF(L239&lt;K239,"Gap","OK"),IF(L239="N/A","N/A",""))</f>
        <v/>
      </c>
      <c r="P239" s="13" t="str">
        <f aca="false">IF(AND(M239="Gap",N239&lt;&gt;"",O239&lt;&gt;""),VLOOKUP(N239&amp;O239,Lists!$H$4:$I$12,2,FALSE()),"")</f>
        <v/>
      </c>
      <c r="Q239" s="13" t="str">
        <f aca="false">IF(AND(M239="Gap",O239="S",OR(N239="H",N239="M")),"Yes","")</f>
        <v/>
      </c>
      <c r="S239" s="14" t="str">
        <f aca="false">IF(A239="","",IFERROR(IF(OR(VLOOKUP(A239,AutoEvidence!$A$2:$G$400,2,FALSE())="Collected",VLOOKUP(A239,AutoEvidence!$A$2:$G$400,2,FALSE())="Partial"),VLOOKUP(A239,AutoEvidence!$A$2:$G$400,3,FALSE())&amp;" ("&amp;VLOOKUP(A239,AutoEvidence!$A$2:$G$400,2,FALSE())&amp;")",VLOOKUP(A239,AutoEvidence!$A$2:$G$400,2,FALSE())),""))</f>
        <v/>
      </c>
      <c r="T239" s="7" t="str">
        <f aca="false">IF(A239="","",IFERROR(VLOOKUP(A239,AutoEvidence!$A$2:$G$400,4,FALSE())&amp;"",""))</f>
        <v/>
      </c>
      <c r="AB239" s="13" t="str">
        <f aca="false">IF(M239="Gap",1,IF(M239="OK",0,""))</f>
        <v/>
      </c>
      <c r="AC239" s="16" t="str">
        <f aca="false">IF(P239&lt;&gt;"",VALUE(RIGHT(P239,1))*1000+ROW(),"")</f>
        <v/>
      </c>
      <c r="AD239" s="16" t="str">
        <f aca="false">IF(ISNUMBER(L239),MIN(L239,K239),"")</f>
        <v/>
      </c>
      <c r="AE239" s="16" t="str">
        <f aca="false">IF(AND(ISNUMBER(SEARCH(" PA "," "&amp;SUBSTITUTE($I239,","," ")&amp;" ")),ISNUMBER($L239)),$L239,"")</f>
        <v/>
      </c>
      <c r="AF239" s="16" t="str">
        <f aca="false">IF(AND(ISNUMBER(SEARCH(" PO "," "&amp;SUBSTITUTE($I239,","," ")&amp;" ")),ISNUMBER($L239)),$L239,"")</f>
        <v/>
      </c>
      <c r="AG239" s="16" t="str">
        <f aca="false">IF(AND(ISNUMBER(SEARCH(" MFA "," "&amp;SUBSTITUTE($I239,","," ")&amp;" ")),ISNUMBER($L239)),$L239,"")</f>
        <v/>
      </c>
      <c r="AH239" s="16" t="str">
        <f aca="false">IF(AND(ISNUMBER(SEARCH(" RAP "," "&amp;SUBSTITUTE($I239,","," ")&amp;" ")),ISNUMBER($L239)),$L239,"")</f>
        <v/>
      </c>
      <c r="AI239" s="16" t="str">
        <f aca="false">IF(AND(ISNUMBER(SEARCH(" AC "," "&amp;SUBSTITUTE($I239,","," ")&amp;" ")),ISNUMBER($L239)),$L239,"")</f>
        <v/>
      </c>
      <c r="AJ239" s="16" t="str">
        <f aca="false">IF(AND(ISNUMBER(SEARCH(" MAC "," "&amp;SUBSTITUTE($I239,","," ")&amp;" ")),ISNUMBER($L239)),$L239,"")</f>
        <v/>
      </c>
      <c r="AK239" s="16" t="str">
        <f aca="false">IF(AND(ISNUMBER(SEARCH(" UAH "," "&amp;SUBSTITUTE($I239,","," ")&amp;" ")),ISNUMBER($L239)),$L239,"")</f>
        <v/>
      </c>
      <c r="AL239" s="16" t="str">
        <f aca="false">IF(AND(ISNUMBER(SEARCH(" RB "," "&amp;SUBSTITUTE($I239,","," ")&amp;" ")),ISNUMBER($L239)),$L239,"")</f>
        <v/>
      </c>
    </row>
    <row r="240" customFormat="false" ht="15" hidden="false" customHeight="false" outlineLevel="0" collapsed="false">
      <c r="M240" s="13" t="str">
        <f aca="false">IF(ISNUMBER(L240),IF(L240&lt;K240,"Gap","OK"),IF(L240="N/A","N/A",""))</f>
        <v/>
      </c>
      <c r="P240" s="13" t="str">
        <f aca="false">IF(AND(M240="Gap",N240&lt;&gt;"",O240&lt;&gt;""),VLOOKUP(N240&amp;O240,Lists!$H$4:$I$12,2,FALSE()),"")</f>
        <v/>
      </c>
      <c r="Q240" s="13" t="str">
        <f aca="false">IF(AND(M240="Gap",O240="S",OR(N240="H",N240="M")),"Yes","")</f>
        <v/>
      </c>
      <c r="S240" s="14" t="str">
        <f aca="false">IF(A240="","",IFERROR(IF(OR(VLOOKUP(A240,AutoEvidence!$A$2:$G$400,2,FALSE())="Collected",VLOOKUP(A240,AutoEvidence!$A$2:$G$400,2,FALSE())="Partial"),VLOOKUP(A240,AutoEvidence!$A$2:$G$400,3,FALSE())&amp;" ("&amp;VLOOKUP(A240,AutoEvidence!$A$2:$G$400,2,FALSE())&amp;")",VLOOKUP(A240,AutoEvidence!$A$2:$G$400,2,FALSE())),""))</f>
        <v/>
      </c>
      <c r="T240" s="7" t="str">
        <f aca="false">IF(A240="","",IFERROR(VLOOKUP(A240,AutoEvidence!$A$2:$G$400,4,FALSE())&amp;"",""))</f>
        <v/>
      </c>
      <c r="AB240" s="13" t="str">
        <f aca="false">IF(M240="Gap",1,IF(M240="OK",0,""))</f>
        <v/>
      </c>
      <c r="AC240" s="16" t="str">
        <f aca="false">IF(P240&lt;&gt;"",VALUE(RIGHT(P240,1))*1000+ROW(),"")</f>
        <v/>
      </c>
      <c r="AD240" s="16" t="str">
        <f aca="false">IF(ISNUMBER(L240),MIN(L240,K240),"")</f>
        <v/>
      </c>
      <c r="AE240" s="16" t="str">
        <f aca="false">IF(AND(ISNUMBER(SEARCH(" PA "," "&amp;SUBSTITUTE($I240,","," ")&amp;" ")),ISNUMBER($L240)),$L240,"")</f>
        <v/>
      </c>
      <c r="AF240" s="16" t="str">
        <f aca="false">IF(AND(ISNUMBER(SEARCH(" PO "," "&amp;SUBSTITUTE($I240,","," ")&amp;" ")),ISNUMBER($L240)),$L240,"")</f>
        <v/>
      </c>
      <c r="AG240" s="16" t="str">
        <f aca="false">IF(AND(ISNUMBER(SEARCH(" MFA "," "&amp;SUBSTITUTE($I240,","," ")&amp;" ")),ISNUMBER($L240)),$L240,"")</f>
        <v/>
      </c>
      <c r="AH240" s="16" t="str">
        <f aca="false">IF(AND(ISNUMBER(SEARCH(" RAP "," "&amp;SUBSTITUTE($I240,","," ")&amp;" ")),ISNUMBER($L240)),$L240,"")</f>
        <v/>
      </c>
      <c r="AI240" s="16" t="str">
        <f aca="false">IF(AND(ISNUMBER(SEARCH(" AC "," "&amp;SUBSTITUTE($I240,","," ")&amp;" ")),ISNUMBER($L240)),$L240,"")</f>
        <v/>
      </c>
      <c r="AJ240" s="16" t="str">
        <f aca="false">IF(AND(ISNUMBER(SEARCH(" MAC "," "&amp;SUBSTITUTE($I240,","," ")&amp;" ")),ISNUMBER($L240)),$L240,"")</f>
        <v/>
      </c>
      <c r="AK240" s="16" t="str">
        <f aca="false">IF(AND(ISNUMBER(SEARCH(" UAH "," "&amp;SUBSTITUTE($I240,","," ")&amp;" ")),ISNUMBER($L240)),$L240,"")</f>
        <v/>
      </c>
      <c r="AL240" s="16" t="str">
        <f aca="false">IF(AND(ISNUMBER(SEARCH(" RB "," "&amp;SUBSTITUTE($I240,","," ")&amp;" ")),ISNUMBER($L240)),$L240,"")</f>
        <v/>
      </c>
    </row>
    <row r="241" customFormat="false" ht="15" hidden="false" customHeight="false" outlineLevel="0" collapsed="false">
      <c r="M241" s="13" t="str">
        <f aca="false">IF(ISNUMBER(L241),IF(L241&lt;K241,"Gap","OK"),IF(L241="N/A","N/A",""))</f>
        <v/>
      </c>
      <c r="P241" s="13" t="str">
        <f aca="false">IF(AND(M241="Gap",N241&lt;&gt;"",O241&lt;&gt;""),VLOOKUP(N241&amp;O241,Lists!$H$4:$I$12,2,FALSE()),"")</f>
        <v/>
      </c>
      <c r="Q241" s="13" t="str">
        <f aca="false">IF(AND(M241="Gap",O241="S",OR(N241="H",N241="M")),"Yes","")</f>
        <v/>
      </c>
      <c r="S241" s="14" t="str">
        <f aca="false">IF(A241="","",IFERROR(IF(OR(VLOOKUP(A241,AutoEvidence!$A$2:$G$400,2,FALSE())="Collected",VLOOKUP(A241,AutoEvidence!$A$2:$G$400,2,FALSE())="Partial"),VLOOKUP(A241,AutoEvidence!$A$2:$G$400,3,FALSE())&amp;" ("&amp;VLOOKUP(A241,AutoEvidence!$A$2:$G$400,2,FALSE())&amp;")",VLOOKUP(A241,AutoEvidence!$A$2:$G$400,2,FALSE())),""))</f>
        <v/>
      </c>
      <c r="T241" s="7" t="str">
        <f aca="false">IF(A241="","",IFERROR(VLOOKUP(A241,AutoEvidence!$A$2:$G$400,4,FALSE())&amp;"",""))</f>
        <v/>
      </c>
      <c r="AB241" s="13" t="str">
        <f aca="false">IF(M241="Gap",1,IF(M241="OK",0,""))</f>
        <v/>
      </c>
      <c r="AC241" s="16" t="str">
        <f aca="false">IF(P241&lt;&gt;"",VALUE(RIGHT(P241,1))*1000+ROW(),"")</f>
        <v/>
      </c>
      <c r="AD241" s="16" t="str">
        <f aca="false">IF(ISNUMBER(L241),MIN(L241,K241),"")</f>
        <v/>
      </c>
      <c r="AE241" s="16" t="str">
        <f aca="false">IF(AND(ISNUMBER(SEARCH(" PA "," "&amp;SUBSTITUTE($I241,","," ")&amp;" ")),ISNUMBER($L241)),$L241,"")</f>
        <v/>
      </c>
      <c r="AF241" s="16" t="str">
        <f aca="false">IF(AND(ISNUMBER(SEARCH(" PO "," "&amp;SUBSTITUTE($I241,","," ")&amp;" ")),ISNUMBER($L241)),$L241,"")</f>
        <v/>
      </c>
      <c r="AG241" s="16" t="str">
        <f aca="false">IF(AND(ISNUMBER(SEARCH(" MFA "," "&amp;SUBSTITUTE($I241,","," ")&amp;" ")),ISNUMBER($L241)),$L241,"")</f>
        <v/>
      </c>
      <c r="AH241" s="16" t="str">
        <f aca="false">IF(AND(ISNUMBER(SEARCH(" RAP "," "&amp;SUBSTITUTE($I241,","," ")&amp;" ")),ISNUMBER($L241)),$L241,"")</f>
        <v/>
      </c>
      <c r="AI241" s="16" t="str">
        <f aca="false">IF(AND(ISNUMBER(SEARCH(" AC "," "&amp;SUBSTITUTE($I241,","," ")&amp;" ")),ISNUMBER($L241)),$L241,"")</f>
        <v/>
      </c>
      <c r="AJ241" s="16" t="str">
        <f aca="false">IF(AND(ISNUMBER(SEARCH(" MAC "," "&amp;SUBSTITUTE($I241,","," ")&amp;" ")),ISNUMBER($L241)),$L241,"")</f>
        <v/>
      </c>
      <c r="AK241" s="16" t="str">
        <f aca="false">IF(AND(ISNUMBER(SEARCH(" UAH "," "&amp;SUBSTITUTE($I241,","," ")&amp;" ")),ISNUMBER($L241)),$L241,"")</f>
        <v/>
      </c>
      <c r="AL241" s="16" t="str">
        <f aca="false">IF(AND(ISNUMBER(SEARCH(" RB "," "&amp;SUBSTITUTE($I241,","," ")&amp;" ")),ISNUMBER($L241)),$L241,"")</f>
        <v/>
      </c>
    </row>
    <row r="242" customFormat="false" ht="15" hidden="false" customHeight="false" outlineLevel="0" collapsed="false">
      <c r="M242" s="13" t="str">
        <f aca="false">IF(ISNUMBER(L242),IF(L242&lt;K242,"Gap","OK"),IF(L242="N/A","N/A",""))</f>
        <v/>
      </c>
      <c r="P242" s="13" t="str">
        <f aca="false">IF(AND(M242="Gap",N242&lt;&gt;"",O242&lt;&gt;""),VLOOKUP(N242&amp;O242,Lists!$H$4:$I$12,2,FALSE()),"")</f>
        <v/>
      </c>
      <c r="Q242" s="13" t="str">
        <f aca="false">IF(AND(M242="Gap",O242="S",OR(N242="H",N242="M")),"Yes","")</f>
        <v/>
      </c>
      <c r="S242" s="14" t="str">
        <f aca="false">IF(A242="","",IFERROR(IF(OR(VLOOKUP(A242,AutoEvidence!$A$2:$G$400,2,FALSE())="Collected",VLOOKUP(A242,AutoEvidence!$A$2:$G$400,2,FALSE())="Partial"),VLOOKUP(A242,AutoEvidence!$A$2:$G$400,3,FALSE())&amp;" ("&amp;VLOOKUP(A242,AutoEvidence!$A$2:$G$400,2,FALSE())&amp;")",VLOOKUP(A242,AutoEvidence!$A$2:$G$400,2,FALSE())),""))</f>
        <v/>
      </c>
      <c r="T242" s="7" t="str">
        <f aca="false">IF(A242="","",IFERROR(VLOOKUP(A242,AutoEvidence!$A$2:$G$400,4,FALSE())&amp;"",""))</f>
        <v/>
      </c>
      <c r="AB242" s="13" t="str">
        <f aca="false">IF(M242="Gap",1,IF(M242="OK",0,""))</f>
        <v/>
      </c>
      <c r="AC242" s="16" t="str">
        <f aca="false">IF(P242&lt;&gt;"",VALUE(RIGHT(P242,1))*1000+ROW(),"")</f>
        <v/>
      </c>
      <c r="AD242" s="16" t="str">
        <f aca="false">IF(ISNUMBER(L242),MIN(L242,K242),"")</f>
        <v/>
      </c>
      <c r="AE242" s="16" t="str">
        <f aca="false">IF(AND(ISNUMBER(SEARCH(" PA "," "&amp;SUBSTITUTE($I242,","," ")&amp;" ")),ISNUMBER($L242)),$L242,"")</f>
        <v/>
      </c>
      <c r="AF242" s="16" t="str">
        <f aca="false">IF(AND(ISNUMBER(SEARCH(" PO "," "&amp;SUBSTITUTE($I242,","," ")&amp;" ")),ISNUMBER($L242)),$L242,"")</f>
        <v/>
      </c>
      <c r="AG242" s="16" t="str">
        <f aca="false">IF(AND(ISNUMBER(SEARCH(" MFA "," "&amp;SUBSTITUTE($I242,","," ")&amp;" ")),ISNUMBER($L242)),$L242,"")</f>
        <v/>
      </c>
      <c r="AH242" s="16" t="str">
        <f aca="false">IF(AND(ISNUMBER(SEARCH(" RAP "," "&amp;SUBSTITUTE($I242,","," ")&amp;" ")),ISNUMBER($L242)),$L242,"")</f>
        <v/>
      </c>
      <c r="AI242" s="16" t="str">
        <f aca="false">IF(AND(ISNUMBER(SEARCH(" AC "," "&amp;SUBSTITUTE($I242,","," ")&amp;" ")),ISNUMBER($L242)),$L242,"")</f>
        <v/>
      </c>
      <c r="AJ242" s="16" t="str">
        <f aca="false">IF(AND(ISNUMBER(SEARCH(" MAC "," "&amp;SUBSTITUTE($I242,","," ")&amp;" ")),ISNUMBER($L242)),$L242,"")</f>
        <v/>
      </c>
      <c r="AK242" s="16" t="str">
        <f aca="false">IF(AND(ISNUMBER(SEARCH(" UAH "," "&amp;SUBSTITUTE($I242,","," ")&amp;" ")),ISNUMBER($L242)),$L242,"")</f>
        <v/>
      </c>
      <c r="AL242" s="16" t="str">
        <f aca="false">IF(AND(ISNUMBER(SEARCH(" RB "," "&amp;SUBSTITUTE($I242,","," ")&amp;" ")),ISNUMBER($L242)),$L242,"")</f>
        <v/>
      </c>
    </row>
    <row r="243" customFormat="false" ht="15" hidden="false" customHeight="false" outlineLevel="0" collapsed="false">
      <c r="M243" s="13" t="str">
        <f aca="false">IF(ISNUMBER(L243),IF(L243&lt;K243,"Gap","OK"),IF(L243="N/A","N/A",""))</f>
        <v/>
      </c>
      <c r="P243" s="13" t="str">
        <f aca="false">IF(AND(M243="Gap",N243&lt;&gt;"",O243&lt;&gt;""),VLOOKUP(N243&amp;O243,Lists!$H$4:$I$12,2,FALSE()),"")</f>
        <v/>
      </c>
      <c r="Q243" s="13" t="str">
        <f aca="false">IF(AND(M243="Gap",O243="S",OR(N243="H",N243="M")),"Yes","")</f>
        <v/>
      </c>
      <c r="S243" s="14" t="str">
        <f aca="false">IF(A243="","",IFERROR(IF(OR(VLOOKUP(A243,AutoEvidence!$A$2:$G$400,2,FALSE())="Collected",VLOOKUP(A243,AutoEvidence!$A$2:$G$400,2,FALSE())="Partial"),VLOOKUP(A243,AutoEvidence!$A$2:$G$400,3,FALSE())&amp;" ("&amp;VLOOKUP(A243,AutoEvidence!$A$2:$G$400,2,FALSE())&amp;")",VLOOKUP(A243,AutoEvidence!$A$2:$G$400,2,FALSE())),""))</f>
        <v/>
      </c>
      <c r="T243" s="7" t="str">
        <f aca="false">IF(A243="","",IFERROR(VLOOKUP(A243,AutoEvidence!$A$2:$G$400,4,FALSE())&amp;"",""))</f>
        <v/>
      </c>
      <c r="AB243" s="13" t="str">
        <f aca="false">IF(M243="Gap",1,IF(M243="OK",0,""))</f>
        <v/>
      </c>
      <c r="AC243" s="16" t="str">
        <f aca="false">IF(P243&lt;&gt;"",VALUE(RIGHT(P243,1))*1000+ROW(),"")</f>
        <v/>
      </c>
      <c r="AD243" s="16" t="str">
        <f aca="false">IF(ISNUMBER(L243),MIN(L243,K243),"")</f>
        <v/>
      </c>
      <c r="AE243" s="16" t="str">
        <f aca="false">IF(AND(ISNUMBER(SEARCH(" PA "," "&amp;SUBSTITUTE($I243,","," ")&amp;" ")),ISNUMBER($L243)),$L243,"")</f>
        <v/>
      </c>
      <c r="AF243" s="16" t="str">
        <f aca="false">IF(AND(ISNUMBER(SEARCH(" PO "," "&amp;SUBSTITUTE($I243,","," ")&amp;" ")),ISNUMBER($L243)),$L243,"")</f>
        <v/>
      </c>
      <c r="AG243" s="16" t="str">
        <f aca="false">IF(AND(ISNUMBER(SEARCH(" MFA "," "&amp;SUBSTITUTE($I243,","," ")&amp;" ")),ISNUMBER($L243)),$L243,"")</f>
        <v/>
      </c>
      <c r="AH243" s="16" t="str">
        <f aca="false">IF(AND(ISNUMBER(SEARCH(" RAP "," "&amp;SUBSTITUTE($I243,","," ")&amp;" ")),ISNUMBER($L243)),$L243,"")</f>
        <v/>
      </c>
      <c r="AI243" s="16" t="str">
        <f aca="false">IF(AND(ISNUMBER(SEARCH(" AC "," "&amp;SUBSTITUTE($I243,","," ")&amp;" ")),ISNUMBER($L243)),$L243,"")</f>
        <v/>
      </c>
      <c r="AJ243" s="16" t="str">
        <f aca="false">IF(AND(ISNUMBER(SEARCH(" MAC "," "&amp;SUBSTITUTE($I243,","," ")&amp;" ")),ISNUMBER($L243)),$L243,"")</f>
        <v/>
      </c>
      <c r="AK243" s="16" t="str">
        <f aca="false">IF(AND(ISNUMBER(SEARCH(" UAH "," "&amp;SUBSTITUTE($I243,","," ")&amp;" ")),ISNUMBER($L243)),$L243,"")</f>
        <v/>
      </c>
      <c r="AL243" s="16" t="str">
        <f aca="false">IF(AND(ISNUMBER(SEARCH(" RB "," "&amp;SUBSTITUTE($I243,","," ")&amp;" ")),ISNUMBER($L243)),$L243,"")</f>
        <v/>
      </c>
    </row>
    <row r="244" customFormat="false" ht="15" hidden="false" customHeight="false" outlineLevel="0" collapsed="false">
      <c r="M244" s="13" t="str">
        <f aca="false">IF(ISNUMBER(L244),IF(L244&lt;K244,"Gap","OK"),IF(L244="N/A","N/A",""))</f>
        <v/>
      </c>
      <c r="P244" s="13" t="str">
        <f aca="false">IF(AND(M244="Gap",N244&lt;&gt;"",O244&lt;&gt;""),VLOOKUP(N244&amp;O244,Lists!$H$4:$I$12,2,FALSE()),"")</f>
        <v/>
      </c>
      <c r="Q244" s="13" t="str">
        <f aca="false">IF(AND(M244="Gap",O244="S",OR(N244="H",N244="M")),"Yes","")</f>
        <v/>
      </c>
      <c r="S244" s="14" t="str">
        <f aca="false">IF(A244="","",IFERROR(IF(OR(VLOOKUP(A244,AutoEvidence!$A$2:$G$400,2,FALSE())="Collected",VLOOKUP(A244,AutoEvidence!$A$2:$G$400,2,FALSE())="Partial"),VLOOKUP(A244,AutoEvidence!$A$2:$G$400,3,FALSE())&amp;" ("&amp;VLOOKUP(A244,AutoEvidence!$A$2:$G$400,2,FALSE())&amp;")",VLOOKUP(A244,AutoEvidence!$A$2:$G$400,2,FALSE())),""))</f>
        <v/>
      </c>
      <c r="T244" s="7" t="str">
        <f aca="false">IF(A244="","",IFERROR(VLOOKUP(A244,AutoEvidence!$A$2:$G$400,4,FALSE())&amp;"",""))</f>
        <v/>
      </c>
      <c r="AB244" s="13" t="str">
        <f aca="false">IF(M244="Gap",1,IF(M244="OK",0,""))</f>
        <v/>
      </c>
      <c r="AC244" s="16" t="str">
        <f aca="false">IF(P244&lt;&gt;"",VALUE(RIGHT(P244,1))*1000+ROW(),"")</f>
        <v/>
      </c>
      <c r="AD244" s="16" t="str">
        <f aca="false">IF(ISNUMBER(L244),MIN(L244,K244),"")</f>
        <v/>
      </c>
      <c r="AE244" s="16" t="str">
        <f aca="false">IF(AND(ISNUMBER(SEARCH(" PA "," "&amp;SUBSTITUTE($I244,","," ")&amp;" ")),ISNUMBER($L244)),$L244,"")</f>
        <v/>
      </c>
      <c r="AF244" s="16" t="str">
        <f aca="false">IF(AND(ISNUMBER(SEARCH(" PO "," "&amp;SUBSTITUTE($I244,","," ")&amp;" ")),ISNUMBER($L244)),$L244,"")</f>
        <v/>
      </c>
      <c r="AG244" s="16" t="str">
        <f aca="false">IF(AND(ISNUMBER(SEARCH(" MFA "," "&amp;SUBSTITUTE($I244,","," ")&amp;" ")),ISNUMBER($L244)),$L244,"")</f>
        <v/>
      </c>
      <c r="AH244" s="16" t="str">
        <f aca="false">IF(AND(ISNUMBER(SEARCH(" RAP "," "&amp;SUBSTITUTE($I244,","," ")&amp;" ")),ISNUMBER($L244)),$L244,"")</f>
        <v/>
      </c>
      <c r="AI244" s="16" t="str">
        <f aca="false">IF(AND(ISNUMBER(SEARCH(" AC "," "&amp;SUBSTITUTE($I244,","," ")&amp;" ")),ISNUMBER($L244)),$L244,"")</f>
        <v/>
      </c>
      <c r="AJ244" s="16" t="str">
        <f aca="false">IF(AND(ISNUMBER(SEARCH(" MAC "," "&amp;SUBSTITUTE($I244,","," ")&amp;" ")),ISNUMBER($L244)),$L244,"")</f>
        <v/>
      </c>
      <c r="AK244" s="16" t="str">
        <f aca="false">IF(AND(ISNUMBER(SEARCH(" UAH "," "&amp;SUBSTITUTE($I244,","," ")&amp;" ")),ISNUMBER($L244)),$L244,"")</f>
        <v/>
      </c>
      <c r="AL244" s="16" t="str">
        <f aca="false">IF(AND(ISNUMBER(SEARCH(" RB "," "&amp;SUBSTITUTE($I244,","," ")&amp;" ")),ISNUMBER($L244)),$L244,"")</f>
        <v/>
      </c>
    </row>
    <row r="245" customFormat="false" ht="15" hidden="false" customHeight="false" outlineLevel="0" collapsed="false">
      <c r="M245" s="13" t="str">
        <f aca="false">IF(ISNUMBER(L245),IF(L245&lt;K245,"Gap","OK"),IF(L245="N/A","N/A",""))</f>
        <v/>
      </c>
      <c r="P245" s="13" t="str">
        <f aca="false">IF(AND(M245="Gap",N245&lt;&gt;"",O245&lt;&gt;""),VLOOKUP(N245&amp;O245,Lists!$H$4:$I$12,2,FALSE()),"")</f>
        <v/>
      </c>
      <c r="Q245" s="13" t="str">
        <f aca="false">IF(AND(M245="Gap",O245="S",OR(N245="H",N245="M")),"Yes","")</f>
        <v/>
      </c>
      <c r="S245" s="14" t="str">
        <f aca="false">IF(A245="","",IFERROR(IF(OR(VLOOKUP(A245,AutoEvidence!$A$2:$G$400,2,FALSE())="Collected",VLOOKUP(A245,AutoEvidence!$A$2:$G$400,2,FALSE())="Partial"),VLOOKUP(A245,AutoEvidence!$A$2:$G$400,3,FALSE())&amp;" ("&amp;VLOOKUP(A245,AutoEvidence!$A$2:$G$400,2,FALSE())&amp;")",VLOOKUP(A245,AutoEvidence!$A$2:$G$400,2,FALSE())),""))</f>
        <v/>
      </c>
      <c r="T245" s="7" t="str">
        <f aca="false">IF(A245="","",IFERROR(VLOOKUP(A245,AutoEvidence!$A$2:$G$400,4,FALSE())&amp;"",""))</f>
        <v/>
      </c>
      <c r="AB245" s="13" t="str">
        <f aca="false">IF(M245="Gap",1,IF(M245="OK",0,""))</f>
        <v/>
      </c>
      <c r="AC245" s="16" t="str">
        <f aca="false">IF(P245&lt;&gt;"",VALUE(RIGHT(P245,1))*1000+ROW(),"")</f>
        <v/>
      </c>
      <c r="AD245" s="16" t="str">
        <f aca="false">IF(ISNUMBER(L245),MIN(L245,K245),"")</f>
        <v/>
      </c>
      <c r="AE245" s="16" t="str">
        <f aca="false">IF(AND(ISNUMBER(SEARCH(" PA "," "&amp;SUBSTITUTE($I245,","," ")&amp;" ")),ISNUMBER($L245)),$L245,"")</f>
        <v/>
      </c>
      <c r="AF245" s="16" t="str">
        <f aca="false">IF(AND(ISNUMBER(SEARCH(" PO "," "&amp;SUBSTITUTE($I245,","," ")&amp;" ")),ISNUMBER($L245)),$L245,"")</f>
        <v/>
      </c>
      <c r="AG245" s="16" t="str">
        <f aca="false">IF(AND(ISNUMBER(SEARCH(" MFA "," "&amp;SUBSTITUTE($I245,","," ")&amp;" ")),ISNUMBER($L245)),$L245,"")</f>
        <v/>
      </c>
      <c r="AH245" s="16" t="str">
        <f aca="false">IF(AND(ISNUMBER(SEARCH(" RAP "," "&amp;SUBSTITUTE($I245,","," ")&amp;" ")),ISNUMBER($L245)),$L245,"")</f>
        <v/>
      </c>
      <c r="AI245" s="16" t="str">
        <f aca="false">IF(AND(ISNUMBER(SEARCH(" AC "," "&amp;SUBSTITUTE($I245,","," ")&amp;" ")),ISNUMBER($L245)),$L245,"")</f>
        <v/>
      </c>
      <c r="AJ245" s="16" t="str">
        <f aca="false">IF(AND(ISNUMBER(SEARCH(" MAC "," "&amp;SUBSTITUTE($I245,","," ")&amp;" ")),ISNUMBER($L245)),$L245,"")</f>
        <v/>
      </c>
      <c r="AK245" s="16" t="str">
        <f aca="false">IF(AND(ISNUMBER(SEARCH(" UAH "," "&amp;SUBSTITUTE($I245,","," ")&amp;" ")),ISNUMBER($L245)),$L245,"")</f>
        <v/>
      </c>
      <c r="AL245" s="16" t="str">
        <f aca="false">IF(AND(ISNUMBER(SEARCH(" RB "," "&amp;SUBSTITUTE($I245,","," ")&amp;" ")),ISNUMBER($L245)),$L245,"")</f>
        <v/>
      </c>
    </row>
    <row r="246" customFormat="false" ht="15" hidden="false" customHeight="false" outlineLevel="0" collapsed="false">
      <c r="M246" s="13" t="str">
        <f aca="false">IF(ISNUMBER(L246),IF(L246&lt;K246,"Gap","OK"),IF(L246="N/A","N/A",""))</f>
        <v/>
      </c>
      <c r="P246" s="13" t="str">
        <f aca="false">IF(AND(M246="Gap",N246&lt;&gt;"",O246&lt;&gt;""),VLOOKUP(N246&amp;O246,Lists!$H$4:$I$12,2,FALSE()),"")</f>
        <v/>
      </c>
      <c r="Q246" s="13" t="str">
        <f aca="false">IF(AND(M246="Gap",O246="S",OR(N246="H",N246="M")),"Yes","")</f>
        <v/>
      </c>
      <c r="S246" s="14" t="str">
        <f aca="false">IF(A246="","",IFERROR(IF(OR(VLOOKUP(A246,AutoEvidence!$A$2:$G$400,2,FALSE())="Collected",VLOOKUP(A246,AutoEvidence!$A$2:$G$400,2,FALSE())="Partial"),VLOOKUP(A246,AutoEvidence!$A$2:$G$400,3,FALSE())&amp;" ("&amp;VLOOKUP(A246,AutoEvidence!$A$2:$G$400,2,FALSE())&amp;")",VLOOKUP(A246,AutoEvidence!$A$2:$G$400,2,FALSE())),""))</f>
        <v/>
      </c>
      <c r="T246" s="7" t="str">
        <f aca="false">IF(A246="","",IFERROR(VLOOKUP(A246,AutoEvidence!$A$2:$G$400,4,FALSE())&amp;"",""))</f>
        <v/>
      </c>
      <c r="AB246" s="13" t="str">
        <f aca="false">IF(M246="Gap",1,IF(M246="OK",0,""))</f>
        <v/>
      </c>
      <c r="AC246" s="16" t="str">
        <f aca="false">IF(P246&lt;&gt;"",VALUE(RIGHT(P246,1))*1000+ROW(),"")</f>
        <v/>
      </c>
      <c r="AD246" s="16" t="str">
        <f aca="false">IF(ISNUMBER(L246),MIN(L246,K246),"")</f>
        <v/>
      </c>
      <c r="AE246" s="16" t="str">
        <f aca="false">IF(AND(ISNUMBER(SEARCH(" PA "," "&amp;SUBSTITUTE($I246,","," ")&amp;" ")),ISNUMBER($L246)),$L246,"")</f>
        <v/>
      </c>
      <c r="AF246" s="16" t="str">
        <f aca="false">IF(AND(ISNUMBER(SEARCH(" PO "," "&amp;SUBSTITUTE($I246,","," ")&amp;" ")),ISNUMBER($L246)),$L246,"")</f>
        <v/>
      </c>
      <c r="AG246" s="16" t="str">
        <f aca="false">IF(AND(ISNUMBER(SEARCH(" MFA "," "&amp;SUBSTITUTE($I246,","," ")&amp;" ")),ISNUMBER($L246)),$L246,"")</f>
        <v/>
      </c>
      <c r="AH246" s="16" t="str">
        <f aca="false">IF(AND(ISNUMBER(SEARCH(" RAP "," "&amp;SUBSTITUTE($I246,","," ")&amp;" ")),ISNUMBER($L246)),$L246,"")</f>
        <v/>
      </c>
      <c r="AI246" s="16" t="str">
        <f aca="false">IF(AND(ISNUMBER(SEARCH(" AC "," "&amp;SUBSTITUTE($I246,","," ")&amp;" ")),ISNUMBER($L246)),$L246,"")</f>
        <v/>
      </c>
      <c r="AJ246" s="16" t="str">
        <f aca="false">IF(AND(ISNUMBER(SEARCH(" MAC "," "&amp;SUBSTITUTE($I246,","," ")&amp;" ")),ISNUMBER($L246)),$L246,"")</f>
        <v/>
      </c>
      <c r="AK246" s="16" t="str">
        <f aca="false">IF(AND(ISNUMBER(SEARCH(" UAH "," "&amp;SUBSTITUTE($I246,","," ")&amp;" ")),ISNUMBER($L246)),$L246,"")</f>
        <v/>
      </c>
      <c r="AL246" s="16" t="str">
        <f aca="false">IF(AND(ISNUMBER(SEARCH(" RB "," "&amp;SUBSTITUTE($I246,","," ")&amp;" ")),ISNUMBER($L246)),$L246,"")</f>
        <v/>
      </c>
    </row>
    <row r="247" customFormat="false" ht="15" hidden="false" customHeight="false" outlineLevel="0" collapsed="false">
      <c r="M247" s="13" t="str">
        <f aca="false">IF(ISNUMBER(L247),IF(L247&lt;K247,"Gap","OK"),IF(L247="N/A","N/A",""))</f>
        <v/>
      </c>
      <c r="P247" s="13" t="str">
        <f aca="false">IF(AND(M247="Gap",N247&lt;&gt;"",O247&lt;&gt;""),VLOOKUP(N247&amp;O247,Lists!$H$4:$I$12,2,FALSE()),"")</f>
        <v/>
      </c>
      <c r="Q247" s="13" t="str">
        <f aca="false">IF(AND(M247="Gap",O247="S",OR(N247="H",N247="M")),"Yes","")</f>
        <v/>
      </c>
      <c r="S247" s="14" t="str">
        <f aca="false">IF(A247="","",IFERROR(IF(OR(VLOOKUP(A247,AutoEvidence!$A$2:$G$400,2,FALSE())="Collected",VLOOKUP(A247,AutoEvidence!$A$2:$G$400,2,FALSE())="Partial"),VLOOKUP(A247,AutoEvidence!$A$2:$G$400,3,FALSE())&amp;" ("&amp;VLOOKUP(A247,AutoEvidence!$A$2:$G$400,2,FALSE())&amp;")",VLOOKUP(A247,AutoEvidence!$A$2:$G$400,2,FALSE())),""))</f>
        <v/>
      </c>
      <c r="T247" s="7" t="str">
        <f aca="false">IF(A247="","",IFERROR(VLOOKUP(A247,AutoEvidence!$A$2:$G$400,4,FALSE())&amp;"",""))</f>
        <v/>
      </c>
      <c r="AB247" s="13" t="str">
        <f aca="false">IF(M247="Gap",1,IF(M247="OK",0,""))</f>
        <v/>
      </c>
      <c r="AC247" s="16" t="str">
        <f aca="false">IF(P247&lt;&gt;"",VALUE(RIGHT(P247,1))*1000+ROW(),"")</f>
        <v/>
      </c>
      <c r="AD247" s="16" t="str">
        <f aca="false">IF(ISNUMBER(L247),MIN(L247,K247),"")</f>
        <v/>
      </c>
      <c r="AE247" s="16" t="str">
        <f aca="false">IF(AND(ISNUMBER(SEARCH(" PA "," "&amp;SUBSTITUTE($I247,","," ")&amp;" ")),ISNUMBER($L247)),$L247,"")</f>
        <v/>
      </c>
      <c r="AF247" s="16" t="str">
        <f aca="false">IF(AND(ISNUMBER(SEARCH(" PO "," "&amp;SUBSTITUTE($I247,","," ")&amp;" ")),ISNUMBER($L247)),$L247,"")</f>
        <v/>
      </c>
      <c r="AG247" s="16" t="str">
        <f aca="false">IF(AND(ISNUMBER(SEARCH(" MFA "," "&amp;SUBSTITUTE($I247,","," ")&amp;" ")),ISNUMBER($L247)),$L247,"")</f>
        <v/>
      </c>
      <c r="AH247" s="16" t="str">
        <f aca="false">IF(AND(ISNUMBER(SEARCH(" RAP "," "&amp;SUBSTITUTE($I247,","," ")&amp;" ")),ISNUMBER($L247)),$L247,"")</f>
        <v/>
      </c>
      <c r="AI247" s="16" t="str">
        <f aca="false">IF(AND(ISNUMBER(SEARCH(" AC "," "&amp;SUBSTITUTE($I247,","," ")&amp;" ")),ISNUMBER($L247)),$L247,"")</f>
        <v/>
      </c>
      <c r="AJ247" s="16" t="str">
        <f aca="false">IF(AND(ISNUMBER(SEARCH(" MAC "," "&amp;SUBSTITUTE($I247,","," ")&amp;" ")),ISNUMBER($L247)),$L247,"")</f>
        <v/>
      </c>
      <c r="AK247" s="16" t="str">
        <f aca="false">IF(AND(ISNUMBER(SEARCH(" UAH "," "&amp;SUBSTITUTE($I247,","," ")&amp;" ")),ISNUMBER($L247)),$L247,"")</f>
        <v/>
      </c>
      <c r="AL247" s="16" t="str">
        <f aca="false">IF(AND(ISNUMBER(SEARCH(" RB "," "&amp;SUBSTITUTE($I247,","," ")&amp;" ")),ISNUMBER($L247)),$L247,"")</f>
        <v/>
      </c>
    </row>
    <row r="248" customFormat="false" ht="15" hidden="false" customHeight="false" outlineLevel="0" collapsed="false">
      <c r="M248" s="13" t="str">
        <f aca="false">IF(ISNUMBER(L248),IF(L248&lt;K248,"Gap","OK"),IF(L248="N/A","N/A",""))</f>
        <v/>
      </c>
      <c r="P248" s="13" t="str">
        <f aca="false">IF(AND(M248="Gap",N248&lt;&gt;"",O248&lt;&gt;""),VLOOKUP(N248&amp;O248,Lists!$H$4:$I$12,2,FALSE()),"")</f>
        <v/>
      </c>
      <c r="Q248" s="13" t="str">
        <f aca="false">IF(AND(M248="Gap",O248="S",OR(N248="H",N248="M")),"Yes","")</f>
        <v/>
      </c>
      <c r="S248" s="14" t="str">
        <f aca="false">IF(A248="","",IFERROR(IF(OR(VLOOKUP(A248,AutoEvidence!$A$2:$G$400,2,FALSE())="Collected",VLOOKUP(A248,AutoEvidence!$A$2:$G$400,2,FALSE())="Partial"),VLOOKUP(A248,AutoEvidence!$A$2:$G$400,3,FALSE())&amp;" ("&amp;VLOOKUP(A248,AutoEvidence!$A$2:$G$400,2,FALSE())&amp;")",VLOOKUP(A248,AutoEvidence!$A$2:$G$400,2,FALSE())),""))</f>
        <v/>
      </c>
      <c r="T248" s="7" t="str">
        <f aca="false">IF(A248="","",IFERROR(VLOOKUP(A248,AutoEvidence!$A$2:$G$400,4,FALSE())&amp;"",""))</f>
        <v/>
      </c>
      <c r="AB248" s="13" t="str">
        <f aca="false">IF(M248="Gap",1,IF(M248="OK",0,""))</f>
        <v/>
      </c>
      <c r="AC248" s="16" t="str">
        <f aca="false">IF(P248&lt;&gt;"",VALUE(RIGHT(P248,1))*1000+ROW(),"")</f>
        <v/>
      </c>
      <c r="AD248" s="16" t="str">
        <f aca="false">IF(ISNUMBER(L248),MIN(L248,K248),"")</f>
        <v/>
      </c>
      <c r="AE248" s="16" t="str">
        <f aca="false">IF(AND(ISNUMBER(SEARCH(" PA "," "&amp;SUBSTITUTE($I248,","," ")&amp;" ")),ISNUMBER($L248)),$L248,"")</f>
        <v/>
      </c>
      <c r="AF248" s="16" t="str">
        <f aca="false">IF(AND(ISNUMBER(SEARCH(" PO "," "&amp;SUBSTITUTE($I248,","," ")&amp;" ")),ISNUMBER($L248)),$L248,"")</f>
        <v/>
      </c>
      <c r="AG248" s="16" t="str">
        <f aca="false">IF(AND(ISNUMBER(SEARCH(" MFA "," "&amp;SUBSTITUTE($I248,","," ")&amp;" ")),ISNUMBER($L248)),$L248,"")</f>
        <v/>
      </c>
      <c r="AH248" s="16" t="str">
        <f aca="false">IF(AND(ISNUMBER(SEARCH(" RAP "," "&amp;SUBSTITUTE($I248,","," ")&amp;" ")),ISNUMBER($L248)),$L248,"")</f>
        <v/>
      </c>
      <c r="AI248" s="16" t="str">
        <f aca="false">IF(AND(ISNUMBER(SEARCH(" AC "," "&amp;SUBSTITUTE($I248,","," ")&amp;" ")),ISNUMBER($L248)),$L248,"")</f>
        <v/>
      </c>
      <c r="AJ248" s="16" t="str">
        <f aca="false">IF(AND(ISNUMBER(SEARCH(" MAC "," "&amp;SUBSTITUTE($I248,","," ")&amp;" ")),ISNUMBER($L248)),$L248,"")</f>
        <v/>
      </c>
      <c r="AK248" s="16" t="str">
        <f aca="false">IF(AND(ISNUMBER(SEARCH(" UAH "," "&amp;SUBSTITUTE($I248,","," ")&amp;" ")),ISNUMBER($L248)),$L248,"")</f>
        <v/>
      </c>
      <c r="AL248" s="16" t="str">
        <f aca="false">IF(AND(ISNUMBER(SEARCH(" RB "," "&amp;SUBSTITUTE($I248,","," ")&amp;" ")),ISNUMBER($L248)),$L248,"")</f>
        <v/>
      </c>
    </row>
    <row r="249" customFormat="false" ht="15" hidden="false" customHeight="false" outlineLevel="0" collapsed="false">
      <c r="M249" s="13" t="str">
        <f aca="false">IF(ISNUMBER(L249),IF(L249&lt;K249,"Gap","OK"),IF(L249="N/A","N/A",""))</f>
        <v/>
      </c>
      <c r="P249" s="13" t="str">
        <f aca="false">IF(AND(M249="Gap",N249&lt;&gt;"",O249&lt;&gt;""),VLOOKUP(N249&amp;O249,Lists!$H$4:$I$12,2,FALSE()),"")</f>
        <v/>
      </c>
      <c r="Q249" s="13" t="str">
        <f aca="false">IF(AND(M249="Gap",O249="S",OR(N249="H",N249="M")),"Yes","")</f>
        <v/>
      </c>
      <c r="S249" s="14" t="str">
        <f aca="false">IF(A249="","",IFERROR(IF(OR(VLOOKUP(A249,AutoEvidence!$A$2:$G$400,2,FALSE())="Collected",VLOOKUP(A249,AutoEvidence!$A$2:$G$400,2,FALSE())="Partial"),VLOOKUP(A249,AutoEvidence!$A$2:$G$400,3,FALSE())&amp;" ("&amp;VLOOKUP(A249,AutoEvidence!$A$2:$G$400,2,FALSE())&amp;")",VLOOKUP(A249,AutoEvidence!$A$2:$G$400,2,FALSE())),""))</f>
        <v/>
      </c>
      <c r="T249" s="7" t="str">
        <f aca="false">IF(A249="","",IFERROR(VLOOKUP(A249,AutoEvidence!$A$2:$G$400,4,FALSE())&amp;"",""))</f>
        <v/>
      </c>
      <c r="AB249" s="13" t="str">
        <f aca="false">IF(M249="Gap",1,IF(M249="OK",0,""))</f>
        <v/>
      </c>
      <c r="AC249" s="16" t="str">
        <f aca="false">IF(P249&lt;&gt;"",VALUE(RIGHT(P249,1))*1000+ROW(),"")</f>
        <v/>
      </c>
      <c r="AD249" s="16" t="str">
        <f aca="false">IF(ISNUMBER(L249),MIN(L249,K249),"")</f>
        <v/>
      </c>
      <c r="AE249" s="16" t="str">
        <f aca="false">IF(AND(ISNUMBER(SEARCH(" PA "," "&amp;SUBSTITUTE($I249,","," ")&amp;" ")),ISNUMBER($L249)),$L249,"")</f>
        <v/>
      </c>
      <c r="AF249" s="16" t="str">
        <f aca="false">IF(AND(ISNUMBER(SEARCH(" PO "," "&amp;SUBSTITUTE($I249,","," ")&amp;" ")),ISNUMBER($L249)),$L249,"")</f>
        <v/>
      </c>
      <c r="AG249" s="16" t="str">
        <f aca="false">IF(AND(ISNUMBER(SEARCH(" MFA "," "&amp;SUBSTITUTE($I249,","," ")&amp;" ")),ISNUMBER($L249)),$L249,"")</f>
        <v/>
      </c>
      <c r="AH249" s="16" t="str">
        <f aca="false">IF(AND(ISNUMBER(SEARCH(" RAP "," "&amp;SUBSTITUTE($I249,","," ")&amp;" ")),ISNUMBER($L249)),$L249,"")</f>
        <v/>
      </c>
      <c r="AI249" s="16" t="str">
        <f aca="false">IF(AND(ISNUMBER(SEARCH(" AC "," "&amp;SUBSTITUTE($I249,","," ")&amp;" ")),ISNUMBER($L249)),$L249,"")</f>
        <v/>
      </c>
      <c r="AJ249" s="16" t="str">
        <f aca="false">IF(AND(ISNUMBER(SEARCH(" MAC "," "&amp;SUBSTITUTE($I249,","," ")&amp;" ")),ISNUMBER($L249)),$L249,"")</f>
        <v/>
      </c>
      <c r="AK249" s="16" t="str">
        <f aca="false">IF(AND(ISNUMBER(SEARCH(" UAH "," "&amp;SUBSTITUTE($I249,","," ")&amp;" ")),ISNUMBER($L249)),$L249,"")</f>
        <v/>
      </c>
      <c r="AL249" s="16" t="str">
        <f aca="false">IF(AND(ISNUMBER(SEARCH(" RB "," "&amp;SUBSTITUTE($I249,","," ")&amp;" ")),ISNUMBER($L249)),$L249,"")</f>
        <v/>
      </c>
    </row>
    <row r="250" customFormat="false" ht="15" hidden="false" customHeight="false" outlineLevel="0" collapsed="false">
      <c r="M250" s="13" t="str">
        <f aca="false">IF(ISNUMBER(L250),IF(L250&lt;K250,"Gap","OK"),IF(L250="N/A","N/A",""))</f>
        <v/>
      </c>
      <c r="P250" s="13" t="str">
        <f aca="false">IF(AND(M250="Gap",N250&lt;&gt;"",O250&lt;&gt;""),VLOOKUP(N250&amp;O250,Lists!$H$4:$I$12,2,FALSE()),"")</f>
        <v/>
      </c>
      <c r="Q250" s="13" t="str">
        <f aca="false">IF(AND(M250="Gap",O250="S",OR(N250="H",N250="M")),"Yes","")</f>
        <v/>
      </c>
      <c r="S250" s="14" t="str">
        <f aca="false">IF(A250="","",IFERROR(IF(OR(VLOOKUP(A250,AutoEvidence!$A$2:$G$400,2,FALSE())="Collected",VLOOKUP(A250,AutoEvidence!$A$2:$G$400,2,FALSE())="Partial"),VLOOKUP(A250,AutoEvidence!$A$2:$G$400,3,FALSE())&amp;" ("&amp;VLOOKUP(A250,AutoEvidence!$A$2:$G$400,2,FALSE())&amp;")",VLOOKUP(A250,AutoEvidence!$A$2:$G$400,2,FALSE())),""))</f>
        <v/>
      </c>
      <c r="T250" s="7" t="str">
        <f aca="false">IF(A250="","",IFERROR(VLOOKUP(A250,AutoEvidence!$A$2:$G$400,4,FALSE())&amp;"",""))</f>
        <v/>
      </c>
      <c r="AB250" s="13" t="str">
        <f aca="false">IF(M250="Gap",1,IF(M250="OK",0,""))</f>
        <v/>
      </c>
      <c r="AC250" s="16" t="str">
        <f aca="false">IF(P250&lt;&gt;"",VALUE(RIGHT(P250,1))*1000+ROW(),"")</f>
        <v/>
      </c>
      <c r="AD250" s="16" t="str">
        <f aca="false">IF(ISNUMBER(L250),MIN(L250,K250),"")</f>
        <v/>
      </c>
      <c r="AE250" s="16" t="str">
        <f aca="false">IF(AND(ISNUMBER(SEARCH(" PA "," "&amp;SUBSTITUTE($I250,","," ")&amp;" ")),ISNUMBER($L250)),$L250,"")</f>
        <v/>
      </c>
      <c r="AF250" s="16" t="str">
        <f aca="false">IF(AND(ISNUMBER(SEARCH(" PO "," "&amp;SUBSTITUTE($I250,","," ")&amp;" ")),ISNUMBER($L250)),$L250,"")</f>
        <v/>
      </c>
      <c r="AG250" s="16" t="str">
        <f aca="false">IF(AND(ISNUMBER(SEARCH(" MFA "," "&amp;SUBSTITUTE($I250,","," ")&amp;" ")),ISNUMBER($L250)),$L250,"")</f>
        <v/>
      </c>
      <c r="AH250" s="16" t="str">
        <f aca="false">IF(AND(ISNUMBER(SEARCH(" RAP "," "&amp;SUBSTITUTE($I250,","," ")&amp;" ")),ISNUMBER($L250)),$L250,"")</f>
        <v/>
      </c>
      <c r="AI250" s="16" t="str">
        <f aca="false">IF(AND(ISNUMBER(SEARCH(" AC "," "&amp;SUBSTITUTE($I250,","," ")&amp;" ")),ISNUMBER($L250)),$L250,"")</f>
        <v/>
      </c>
      <c r="AJ250" s="16" t="str">
        <f aca="false">IF(AND(ISNUMBER(SEARCH(" MAC "," "&amp;SUBSTITUTE($I250,","," ")&amp;" ")),ISNUMBER($L250)),$L250,"")</f>
        <v/>
      </c>
      <c r="AK250" s="16" t="str">
        <f aca="false">IF(AND(ISNUMBER(SEARCH(" UAH "," "&amp;SUBSTITUTE($I250,","," ")&amp;" ")),ISNUMBER($L250)),$L250,"")</f>
        <v/>
      </c>
      <c r="AL250" s="16" t="str">
        <f aca="false">IF(AND(ISNUMBER(SEARCH(" RB "," "&amp;SUBSTITUTE($I250,","," ")&amp;" ")),ISNUMBER($L250)),$L250,"")</f>
        <v/>
      </c>
    </row>
    <row r="251" customFormat="false" ht="15" hidden="false" customHeight="false" outlineLevel="0" collapsed="false">
      <c r="M251" s="13" t="str">
        <f aca="false">IF(ISNUMBER(L251),IF(L251&lt;K251,"Gap","OK"),IF(L251="N/A","N/A",""))</f>
        <v/>
      </c>
      <c r="P251" s="13" t="str">
        <f aca="false">IF(AND(M251="Gap",N251&lt;&gt;"",O251&lt;&gt;""),VLOOKUP(N251&amp;O251,Lists!$H$4:$I$12,2,FALSE()),"")</f>
        <v/>
      </c>
      <c r="Q251" s="13" t="str">
        <f aca="false">IF(AND(M251="Gap",O251="S",OR(N251="H",N251="M")),"Yes","")</f>
        <v/>
      </c>
      <c r="S251" s="14" t="str">
        <f aca="false">IF(A251="","",IFERROR(IF(OR(VLOOKUP(A251,AutoEvidence!$A$2:$G$400,2,FALSE())="Collected",VLOOKUP(A251,AutoEvidence!$A$2:$G$400,2,FALSE())="Partial"),VLOOKUP(A251,AutoEvidence!$A$2:$G$400,3,FALSE())&amp;" ("&amp;VLOOKUP(A251,AutoEvidence!$A$2:$G$400,2,FALSE())&amp;")",VLOOKUP(A251,AutoEvidence!$A$2:$G$400,2,FALSE())),""))</f>
        <v/>
      </c>
      <c r="T251" s="7" t="str">
        <f aca="false">IF(A251="","",IFERROR(VLOOKUP(A251,AutoEvidence!$A$2:$G$400,4,FALSE())&amp;"",""))</f>
        <v/>
      </c>
      <c r="AB251" s="13" t="str">
        <f aca="false">IF(M251="Gap",1,IF(M251="OK",0,""))</f>
        <v/>
      </c>
      <c r="AC251" s="16" t="str">
        <f aca="false">IF(P251&lt;&gt;"",VALUE(RIGHT(P251,1))*1000+ROW(),"")</f>
        <v/>
      </c>
      <c r="AD251" s="16" t="str">
        <f aca="false">IF(ISNUMBER(L251),MIN(L251,K251),"")</f>
        <v/>
      </c>
      <c r="AE251" s="16" t="str">
        <f aca="false">IF(AND(ISNUMBER(SEARCH(" PA "," "&amp;SUBSTITUTE($I251,","," ")&amp;" ")),ISNUMBER($L251)),$L251,"")</f>
        <v/>
      </c>
      <c r="AF251" s="16" t="str">
        <f aca="false">IF(AND(ISNUMBER(SEARCH(" PO "," "&amp;SUBSTITUTE($I251,","," ")&amp;" ")),ISNUMBER($L251)),$L251,"")</f>
        <v/>
      </c>
      <c r="AG251" s="16" t="str">
        <f aca="false">IF(AND(ISNUMBER(SEARCH(" MFA "," "&amp;SUBSTITUTE($I251,","," ")&amp;" ")),ISNUMBER($L251)),$L251,"")</f>
        <v/>
      </c>
      <c r="AH251" s="16" t="str">
        <f aca="false">IF(AND(ISNUMBER(SEARCH(" RAP "," "&amp;SUBSTITUTE($I251,","," ")&amp;" ")),ISNUMBER($L251)),$L251,"")</f>
        <v/>
      </c>
      <c r="AI251" s="16" t="str">
        <f aca="false">IF(AND(ISNUMBER(SEARCH(" AC "," "&amp;SUBSTITUTE($I251,","," ")&amp;" ")),ISNUMBER($L251)),$L251,"")</f>
        <v/>
      </c>
      <c r="AJ251" s="16" t="str">
        <f aca="false">IF(AND(ISNUMBER(SEARCH(" MAC "," "&amp;SUBSTITUTE($I251,","," ")&amp;" ")),ISNUMBER($L251)),$L251,"")</f>
        <v/>
      </c>
      <c r="AK251" s="16" t="str">
        <f aca="false">IF(AND(ISNUMBER(SEARCH(" UAH "," "&amp;SUBSTITUTE($I251,","," ")&amp;" ")),ISNUMBER($L251)),$L251,"")</f>
        <v/>
      </c>
      <c r="AL251" s="16" t="str">
        <f aca="false">IF(AND(ISNUMBER(SEARCH(" RB "," "&amp;SUBSTITUTE($I251,","," ")&amp;" ")),ISNUMBER($L251)),$L251,"")</f>
        <v/>
      </c>
    </row>
    <row r="252" customFormat="false" ht="15" hidden="false" customHeight="false" outlineLevel="0" collapsed="false">
      <c r="M252" s="13" t="str">
        <f aca="false">IF(ISNUMBER(L252),IF(L252&lt;K252,"Gap","OK"),IF(L252="N/A","N/A",""))</f>
        <v/>
      </c>
      <c r="P252" s="13" t="str">
        <f aca="false">IF(AND(M252="Gap",N252&lt;&gt;"",O252&lt;&gt;""),VLOOKUP(N252&amp;O252,Lists!$H$4:$I$12,2,FALSE()),"")</f>
        <v/>
      </c>
      <c r="Q252" s="13" t="str">
        <f aca="false">IF(AND(M252="Gap",O252="S",OR(N252="H",N252="M")),"Yes","")</f>
        <v/>
      </c>
      <c r="S252" s="14" t="str">
        <f aca="false">IF(A252="","",IFERROR(IF(OR(VLOOKUP(A252,AutoEvidence!$A$2:$G$400,2,FALSE())="Collected",VLOOKUP(A252,AutoEvidence!$A$2:$G$400,2,FALSE())="Partial"),VLOOKUP(A252,AutoEvidence!$A$2:$G$400,3,FALSE())&amp;" ("&amp;VLOOKUP(A252,AutoEvidence!$A$2:$G$400,2,FALSE())&amp;")",VLOOKUP(A252,AutoEvidence!$A$2:$G$400,2,FALSE())),""))</f>
        <v/>
      </c>
      <c r="T252" s="7" t="str">
        <f aca="false">IF(A252="","",IFERROR(VLOOKUP(A252,AutoEvidence!$A$2:$G$400,4,FALSE())&amp;"",""))</f>
        <v/>
      </c>
      <c r="AB252" s="13" t="str">
        <f aca="false">IF(M252="Gap",1,IF(M252="OK",0,""))</f>
        <v/>
      </c>
      <c r="AC252" s="16" t="str">
        <f aca="false">IF(P252&lt;&gt;"",VALUE(RIGHT(P252,1))*1000+ROW(),"")</f>
        <v/>
      </c>
      <c r="AD252" s="16" t="str">
        <f aca="false">IF(ISNUMBER(L252),MIN(L252,K252),"")</f>
        <v/>
      </c>
      <c r="AE252" s="16" t="str">
        <f aca="false">IF(AND(ISNUMBER(SEARCH(" PA "," "&amp;SUBSTITUTE($I252,","," ")&amp;" ")),ISNUMBER($L252)),$L252,"")</f>
        <v/>
      </c>
      <c r="AF252" s="16" t="str">
        <f aca="false">IF(AND(ISNUMBER(SEARCH(" PO "," "&amp;SUBSTITUTE($I252,","," ")&amp;" ")),ISNUMBER($L252)),$L252,"")</f>
        <v/>
      </c>
      <c r="AG252" s="16" t="str">
        <f aca="false">IF(AND(ISNUMBER(SEARCH(" MFA "," "&amp;SUBSTITUTE($I252,","," ")&amp;" ")),ISNUMBER($L252)),$L252,"")</f>
        <v/>
      </c>
      <c r="AH252" s="16" t="str">
        <f aca="false">IF(AND(ISNUMBER(SEARCH(" RAP "," "&amp;SUBSTITUTE($I252,","," ")&amp;" ")),ISNUMBER($L252)),$L252,"")</f>
        <v/>
      </c>
      <c r="AI252" s="16" t="str">
        <f aca="false">IF(AND(ISNUMBER(SEARCH(" AC "," "&amp;SUBSTITUTE($I252,","," ")&amp;" ")),ISNUMBER($L252)),$L252,"")</f>
        <v/>
      </c>
      <c r="AJ252" s="16" t="str">
        <f aca="false">IF(AND(ISNUMBER(SEARCH(" MAC "," "&amp;SUBSTITUTE($I252,","," ")&amp;" ")),ISNUMBER($L252)),$L252,"")</f>
        <v/>
      </c>
      <c r="AK252" s="16" t="str">
        <f aca="false">IF(AND(ISNUMBER(SEARCH(" UAH "," "&amp;SUBSTITUTE($I252,","," ")&amp;" ")),ISNUMBER($L252)),$L252,"")</f>
        <v/>
      </c>
      <c r="AL252" s="16" t="str">
        <f aca="false">IF(AND(ISNUMBER(SEARCH(" RB "," "&amp;SUBSTITUTE($I252,","," ")&amp;" ")),ISNUMBER($L252)),$L252,"")</f>
        <v/>
      </c>
    </row>
    <row r="253" customFormat="false" ht="15" hidden="false" customHeight="false" outlineLevel="0" collapsed="false">
      <c r="M253" s="13" t="str">
        <f aca="false">IF(ISNUMBER(L253),IF(L253&lt;K253,"Gap","OK"),IF(L253="N/A","N/A",""))</f>
        <v/>
      </c>
      <c r="P253" s="13" t="str">
        <f aca="false">IF(AND(M253="Gap",N253&lt;&gt;"",O253&lt;&gt;""),VLOOKUP(N253&amp;O253,Lists!$H$4:$I$12,2,FALSE()),"")</f>
        <v/>
      </c>
      <c r="Q253" s="13" t="str">
        <f aca="false">IF(AND(M253="Gap",O253="S",OR(N253="H",N253="M")),"Yes","")</f>
        <v/>
      </c>
      <c r="S253" s="14" t="str">
        <f aca="false">IF(A253="","",IFERROR(IF(OR(VLOOKUP(A253,AutoEvidence!$A$2:$G$400,2,FALSE())="Collected",VLOOKUP(A253,AutoEvidence!$A$2:$G$400,2,FALSE())="Partial"),VLOOKUP(A253,AutoEvidence!$A$2:$G$400,3,FALSE())&amp;" ("&amp;VLOOKUP(A253,AutoEvidence!$A$2:$G$400,2,FALSE())&amp;")",VLOOKUP(A253,AutoEvidence!$A$2:$G$400,2,FALSE())),""))</f>
        <v/>
      </c>
      <c r="T253" s="7" t="str">
        <f aca="false">IF(A253="","",IFERROR(VLOOKUP(A253,AutoEvidence!$A$2:$G$400,4,FALSE())&amp;"",""))</f>
        <v/>
      </c>
      <c r="AB253" s="13" t="str">
        <f aca="false">IF(M253="Gap",1,IF(M253="OK",0,""))</f>
        <v/>
      </c>
      <c r="AC253" s="16" t="str">
        <f aca="false">IF(P253&lt;&gt;"",VALUE(RIGHT(P253,1))*1000+ROW(),"")</f>
        <v/>
      </c>
      <c r="AD253" s="16" t="str">
        <f aca="false">IF(ISNUMBER(L253),MIN(L253,K253),"")</f>
        <v/>
      </c>
      <c r="AE253" s="16" t="str">
        <f aca="false">IF(AND(ISNUMBER(SEARCH(" PA "," "&amp;SUBSTITUTE($I253,","," ")&amp;" ")),ISNUMBER($L253)),$L253,"")</f>
        <v/>
      </c>
      <c r="AF253" s="16" t="str">
        <f aca="false">IF(AND(ISNUMBER(SEARCH(" PO "," "&amp;SUBSTITUTE($I253,","," ")&amp;" ")),ISNUMBER($L253)),$L253,"")</f>
        <v/>
      </c>
      <c r="AG253" s="16" t="str">
        <f aca="false">IF(AND(ISNUMBER(SEARCH(" MFA "," "&amp;SUBSTITUTE($I253,","," ")&amp;" ")),ISNUMBER($L253)),$L253,"")</f>
        <v/>
      </c>
      <c r="AH253" s="16" t="str">
        <f aca="false">IF(AND(ISNUMBER(SEARCH(" RAP "," "&amp;SUBSTITUTE($I253,","," ")&amp;" ")),ISNUMBER($L253)),$L253,"")</f>
        <v/>
      </c>
      <c r="AI253" s="16" t="str">
        <f aca="false">IF(AND(ISNUMBER(SEARCH(" AC "," "&amp;SUBSTITUTE($I253,","," ")&amp;" ")),ISNUMBER($L253)),$L253,"")</f>
        <v/>
      </c>
      <c r="AJ253" s="16" t="str">
        <f aca="false">IF(AND(ISNUMBER(SEARCH(" MAC "," "&amp;SUBSTITUTE($I253,","," ")&amp;" ")),ISNUMBER($L253)),$L253,"")</f>
        <v/>
      </c>
      <c r="AK253" s="16" t="str">
        <f aca="false">IF(AND(ISNUMBER(SEARCH(" UAH "," "&amp;SUBSTITUTE($I253,","," ")&amp;" ")),ISNUMBER($L253)),$L253,"")</f>
        <v/>
      </c>
      <c r="AL253" s="16" t="str">
        <f aca="false">IF(AND(ISNUMBER(SEARCH(" RB "," "&amp;SUBSTITUTE($I253,","," ")&amp;" ")),ISNUMBER($L253)),$L253,"")</f>
        <v/>
      </c>
    </row>
    <row r="254" customFormat="false" ht="15" hidden="false" customHeight="false" outlineLevel="0" collapsed="false">
      <c r="M254" s="13" t="str">
        <f aca="false">IF(ISNUMBER(L254),IF(L254&lt;K254,"Gap","OK"),IF(L254="N/A","N/A",""))</f>
        <v/>
      </c>
      <c r="P254" s="13" t="str">
        <f aca="false">IF(AND(M254="Gap",N254&lt;&gt;"",O254&lt;&gt;""),VLOOKUP(N254&amp;O254,Lists!$H$4:$I$12,2,FALSE()),"")</f>
        <v/>
      </c>
      <c r="Q254" s="13" t="str">
        <f aca="false">IF(AND(M254="Gap",O254="S",OR(N254="H",N254="M")),"Yes","")</f>
        <v/>
      </c>
      <c r="S254" s="14" t="str">
        <f aca="false">IF(A254="","",IFERROR(IF(OR(VLOOKUP(A254,AutoEvidence!$A$2:$G$400,2,FALSE())="Collected",VLOOKUP(A254,AutoEvidence!$A$2:$G$400,2,FALSE())="Partial"),VLOOKUP(A254,AutoEvidence!$A$2:$G$400,3,FALSE())&amp;" ("&amp;VLOOKUP(A254,AutoEvidence!$A$2:$G$400,2,FALSE())&amp;")",VLOOKUP(A254,AutoEvidence!$A$2:$G$400,2,FALSE())),""))</f>
        <v/>
      </c>
      <c r="T254" s="7" t="str">
        <f aca="false">IF(A254="","",IFERROR(VLOOKUP(A254,AutoEvidence!$A$2:$G$400,4,FALSE())&amp;"",""))</f>
        <v/>
      </c>
      <c r="AB254" s="13" t="str">
        <f aca="false">IF(M254="Gap",1,IF(M254="OK",0,""))</f>
        <v/>
      </c>
      <c r="AC254" s="16" t="str">
        <f aca="false">IF(P254&lt;&gt;"",VALUE(RIGHT(P254,1))*1000+ROW(),"")</f>
        <v/>
      </c>
      <c r="AD254" s="16" t="str">
        <f aca="false">IF(ISNUMBER(L254),MIN(L254,K254),"")</f>
        <v/>
      </c>
      <c r="AE254" s="16" t="str">
        <f aca="false">IF(AND(ISNUMBER(SEARCH(" PA "," "&amp;SUBSTITUTE($I254,","," ")&amp;" ")),ISNUMBER($L254)),$L254,"")</f>
        <v/>
      </c>
      <c r="AF254" s="16" t="str">
        <f aca="false">IF(AND(ISNUMBER(SEARCH(" PO "," "&amp;SUBSTITUTE($I254,","," ")&amp;" ")),ISNUMBER($L254)),$L254,"")</f>
        <v/>
      </c>
      <c r="AG254" s="16" t="str">
        <f aca="false">IF(AND(ISNUMBER(SEARCH(" MFA "," "&amp;SUBSTITUTE($I254,","," ")&amp;" ")),ISNUMBER($L254)),$L254,"")</f>
        <v/>
      </c>
      <c r="AH254" s="16" t="str">
        <f aca="false">IF(AND(ISNUMBER(SEARCH(" RAP "," "&amp;SUBSTITUTE($I254,","," ")&amp;" ")),ISNUMBER($L254)),$L254,"")</f>
        <v/>
      </c>
      <c r="AI254" s="16" t="str">
        <f aca="false">IF(AND(ISNUMBER(SEARCH(" AC "," "&amp;SUBSTITUTE($I254,","," ")&amp;" ")),ISNUMBER($L254)),$L254,"")</f>
        <v/>
      </c>
      <c r="AJ254" s="16" t="str">
        <f aca="false">IF(AND(ISNUMBER(SEARCH(" MAC "," "&amp;SUBSTITUTE($I254,","," ")&amp;" ")),ISNUMBER($L254)),$L254,"")</f>
        <v/>
      </c>
      <c r="AK254" s="16" t="str">
        <f aca="false">IF(AND(ISNUMBER(SEARCH(" UAH "," "&amp;SUBSTITUTE($I254,","," ")&amp;" ")),ISNUMBER($L254)),$L254,"")</f>
        <v/>
      </c>
      <c r="AL254" s="16" t="str">
        <f aca="false">IF(AND(ISNUMBER(SEARCH(" RB "," "&amp;SUBSTITUTE($I254,","," ")&amp;" ")),ISNUMBER($L254)),$L254,"")</f>
        <v/>
      </c>
    </row>
    <row r="255" customFormat="false" ht="15" hidden="false" customHeight="false" outlineLevel="0" collapsed="false">
      <c r="M255" s="13" t="str">
        <f aca="false">IF(ISNUMBER(L255),IF(L255&lt;K255,"Gap","OK"),IF(L255="N/A","N/A",""))</f>
        <v/>
      </c>
      <c r="P255" s="13" t="str">
        <f aca="false">IF(AND(M255="Gap",N255&lt;&gt;"",O255&lt;&gt;""),VLOOKUP(N255&amp;O255,Lists!$H$4:$I$12,2,FALSE()),"")</f>
        <v/>
      </c>
      <c r="Q255" s="13" t="str">
        <f aca="false">IF(AND(M255="Gap",O255="S",OR(N255="H",N255="M")),"Yes","")</f>
        <v/>
      </c>
      <c r="S255" s="14" t="str">
        <f aca="false">IF(A255="","",IFERROR(IF(OR(VLOOKUP(A255,AutoEvidence!$A$2:$G$400,2,FALSE())="Collected",VLOOKUP(A255,AutoEvidence!$A$2:$G$400,2,FALSE())="Partial"),VLOOKUP(A255,AutoEvidence!$A$2:$G$400,3,FALSE())&amp;" ("&amp;VLOOKUP(A255,AutoEvidence!$A$2:$G$400,2,FALSE())&amp;")",VLOOKUP(A255,AutoEvidence!$A$2:$G$400,2,FALSE())),""))</f>
        <v/>
      </c>
      <c r="T255" s="7" t="str">
        <f aca="false">IF(A255="","",IFERROR(VLOOKUP(A255,AutoEvidence!$A$2:$G$400,4,FALSE())&amp;"",""))</f>
        <v/>
      </c>
      <c r="AB255" s="13" t="str">
        <f aca="false">IF(M255="Gap",1,IF(M255="OK",0,""))</f>
        <v/>
      </c>
      <c r="AC255" s="16" t="str">
        <f aca="false">IF(P255&lt;&gt;"",VALUE(RIGHT(P255,1))*1000+ROW(),"")</f>
        <v/>
      </c>
      <c r="AD255" s="16" t="str">
        <f aca="false">IF(ISNUMBER(L255),MIN(L255,K255),"")</f>
        <v/>
      </c>
      <c r="AE255" s="16" t="str">
        <f aca="false">IF(AND(ISNUMBER(SEARCH(" PA "," "&amp;SUBSTITUTE($I255,","," ")&amp;" ")),ISNUMBER($L255)),$L255,"")</f>
        <v/>
      </c>
      <c r="AF255" s="16" t="str">
        <f aca="false">IF(AND(ISNUMBER(SEARCH(" PO "," "&amp;SUBSTITUTE($I255,","," ")&amp;" ")),ISNUMBER($L255)),$L255,"")</f>
        <v/>
      </c>
      <c r="AG255" s="16" t="str">
        <f aca="false">IF(AND(ISNUMBER(SEARCH(" MFA "," "&amp;SUBSTITUTE($I255,","," ")&amp;" ")),ISNUMBER($L255)),$L255,"")</f>
        <v/>
      </c>
      <c r="AH255" s="16" t="str">
        <f aca="false">IF(AND(ISNUMBER(SEARCH(" RAP "," "&amp;SUBSTITUTE($I255,","," ")&amp;" ")),ISNUMBER($L255)),$L255,"")</f>
        <v/>
      </c>
      <c r="AI255" s="16" t="str">
        <f aca="false">IF(AND(ISNUMBER(SEARCH(" AC "," "&amp;SUBSTITUTE($I255,","," ")&amp;" ")),ISNUMBER($L255)),$L255,"")</f>
        <v/>
      </c>
      <c r="AJ255" s="16" t="str">
        <f aca="false">IF(AND(ISNUMBER(SEARCH(" MAC "," "&amp;SUBSTITUTE($I255,","," ")&amp;" ")),ISNUMBER($L255)),$L255,"")</f>
        <v/>
      </c>
      <c r="AK255" s="16" t="str">
        <f aca="false">IF(AND(ISNUMBER(SEARCH(" UAH "," "&amp;SUBSTITUTE($I255,","," ")&amp;" ")),ISNUMBER($L255)),$L255,"")</f>
        <v/>
      </c>
      <c r="AL255" s="16" t="str">
        <f aca="false">IF(AND(ISNUMBER(SEARCH(" RB "," "&amp;SUBSTITUTE($I255,","," ")&amp;" ")),ISNUMBER($L255)),$L255,"")</f>
        <v/>
      </c>
    </row>
    <row r="256" customFormat="false" ht="15" hidden="false" customHeight="false" outlineLevel="0" collapsed="false">
      <c r="M256" s="13" t="str">
        <f aca="false">IF(ISNUMBER(L256),IF(L256&lt;K256,"Gap","OK"),IF(L256="N/A","N/A",""))</f>
        <v/>
      </c>
      <c r="P256" s="13" t="str">
        <f aca="false">IF(AND(M256="Gap",N256&lt;&gt;"",O256&lt;&gt;""),VLOOKUP(N256&amp;O256,Lists!$H$4:$I$12,2,FALSE()),"")</f>
        <v/>
      </c>
      <c r="Q256" s="13" t="str">
        <f aca="false">IF(AND(M256="Gap",O256="S",OR(N256="H",N256="M")),"Yes","")</f>
        <v/>
      </c>
      <c r="S256" s="14" t="str">
        <f aca="false">IF(A256="","",IFERROR(IF(OR(VLOOKUP(A256,AutoEvidence!$A$2:$G$400,2,FALSE())="Collected",VLOOKUP(A256,AutoEvidence!$A$2:$G$400,2,FALSE())="Partial"),VLOOKUP(A256,AutoEvidence!$A$2:$G$400,3,FALSE())&amp;" ("&amp;VLOOKUP(A256,AutoEvidence!$A$2:$G$400,2,FALSE())&amp;")",VLOOKUP(A256,AutoEvidence!$A$2:$G$400,2,FALSE())),""))</f>
        <v/>
      </c>
      <c r="T256" s="7" t="str">
        <f aca="false">IF(A256="","",IFERROR(VLOOKUP(A256,AutoEvidence!$A$2:$G$400,4,FALSE())&amp;"",""))</f>
        <v/>
      </c>
      <c r="AB256" s="13" t="str">
        <f aca="false">IF(M256="Gap",1,IF(M256="OK",0,""))</f>
        <v/>
      </c>
      <c r="AC256" s="16" t="str">
        <f aca="false">IF(P256&lt;&gt;"",VALUE(RIGHT(P256,1))*1000+ROW(),"")</f>
        <v/>
      </c>
      <c r="AD256" s="16" t="str">
        <f aca="false">IF(ISNUMBER(L256),MIN(L256,K256),"")</f>
        <v/>
      </c>
      <c r="AE256" s="16" t="str">
        <f aca="false">IF(AND(ISNUMBER(SEARCH(" PA "," "&amp;SUBSTITUTE($I256,","," ")&amp;" ")),ISNUMBER($L256)),$L256,"")</f>
        <v/>
      </c>
      <c r="AF256" s="16" t="str">
        <f aca="false">IF(AND(ISNUMBER(SEARCH(" PO "," "&amp;SUBSTITUTE($I256,","," ")&amp;" ")),ISNUMBER($L256)),$L256,"")</f>
        <v/>
      </c>
      <c r="AG256" s="16" t="str">
        <f aca="false">IF(AND(ISNUMBER(SEARCH(" MFA "," "&amp;SUBSTITUTE($I256,","," ")&amp;" ")),ISNUMBER($L256)),$L256,"")</f>
        <v/>
      </c>
      <c r="AH256" s="16" t="str">
        <f aca="false">IF(AND(ISNUMBER(SEARCH(" RAP "," "&amp;SUBSTITUTE($I256,","," ")&amp;" ")),ISNUMBER($L256)),$L256,"")</f>
        <v/>
      </c>
      <c r="AI256" s="16" t="str">
        <f aca="false">IF(AND(ISNUMBER(SEARCH(" AC "," "&amp;SUBSTITUTE($I256,","," ")&amp;" ")),ISNUMBER($L256)),$L256,"")</f>
        <v/>
      </c>
      <c r="AJ256" s="16" t="str">
        <f aca="false">IF(AND(ISNUMBER(SEARCH(" MAC "," "&amp;SUBSTITUTE($I256,","," ")&amp;" ")),ISNUMBER($L256)),$L256,"")</f>
        <v/>
      </c>
      <c r="AK256" s="16" t="str">
        <f aca="false">IF(AND(ISNUMBER(SEARCH(" UAH "," "&amp;SUBSTITUTE($I256,","," ")&amp;" ")),ISNUMBER($L256)),$L256,"")</f>
        <v/>
      </c>
      <c r="AL256" s="16" t="str">
        <f aca="false">IF(AND(ISNUMBER(SEARCH(" RB "," "&amp;SUBSTITUTE($I256,","," ")&amp;" ")),ISNUMBER($L256)),$L256,"")</f>
        <v/>
      </c>
    </row>
    <row r="257" customFormat="false" ht="15" hidden="false" customHeight="false" outlineLevel="0" collapsed="false">
      <c r="M257" s="13" t="str">
        <f aca="false">IF(ISNUMBER(L257),IF(L257&lt;K257,"Gap","OK"),IF(L257="N/A","N/A",""))</f>
        <v/>
      </c>
      <c r="P257" s="13" t="str">
        <f aca="false">IF(AND(M257="Gap",N257&lt;&gt;"",O257&lt;&gt;""),VLOOKUP(N257&amp;O257,Lists!$H$4:$I$12,2,FALSE()),"")</f>
        <v/>
      </c>
      <c r="Q257" s="13" t="str">
        <f aca="false">IF(AND(M257="Gap",O257="S",OR(N257="H",N257="M")),"Yes","")</f>
        <v/>
      </c>
      <c r="S257" s="14" t="str">
        <f aca="false">IF(A257="","",IFERROR(IF(OR(VLOOKUP(A257,AutoEvidence!$A$2:$G$400,2,FALSE())="Collected",VLOOKUP(A257,AutoEvidence!$A$2:$G$400,2,FALSE())="Partial"),VLOOKUP(A257,AutoEvidence!$A$2:$G$400,3,FALSE())&amp;" ("&amp;VLOOKUP(A257,AutoEvidence!$A$2:$G$400,2,FALSE())&amp;")",VLOOKUP(A257,AutoEvidence!$A$2:$G$400,2,FALSE())),""))</f>
        <v/>
      </c>
      <c r="T257" s="7" t="str">
        <f aca="false">IF(A257="","",IFERROR(VLOOKUP(A257,AutoEvidence!$A$2:$G$400,4,FALSE())&amp;"",""))</f>
        <v/>
      </c>
      <c r="AB257" s="13" t="str">
        <f aca="false">IF(M257="Gap",1,IF(M257="OK",0,""))</f>
        <v/>
      </c>
      <c r="AC257" s="16" t="str">
        <f aca="false">IF(P257&lt;&gt;"",VALUE(RIGHT(P257,1))*1000+ROW(),"")</f>
        <v/>
      </c>
      <c r="AD257" s="16" t="str">
        <f aca="false">IF(ISNUMBER(L257),MIN(L257,K257),"")</f>
        <v/>
      </c>
      <c r="AE257" s="16" t="str">
        <f aca="false">IF(AND(ISNUMBER(SEARCH(" PA "," "&amp;SUBSTITUTE($I257,","," ")&amp;" ")),ISNUMBER($L257)),$L257,"")</f>
        <v/>
      </c>
      <c r="AF257" s="16" t="str">
        <f aca="false">IF(AND(ISNUMBER(SEARCH(" PO "," "&amp;SUBSTITUTE($I257,","," ")&amp;" ")),ISNUMBER($L257)),$L257,"")</f>
        <v/>
      </c>
      <c r="AG257" s="16" t="str">
        <f aca="false">IF(AND(ISNUMBER(SEARCH(" MFA "," "&amp;SUBSTITUTE($I257,","," ")&amp;" ")),ISNUMBER($L257)),$L257,"")</f>
        <v/>
      </c>
      <c r="AH257" s="16" t="str">
        <f aca="false">IF(AND(ISNUMBER(SEARCH(" RAP "," "&amp;SUBSTITUTE($I257,","," ")&amp;" ")),ISNUMBER($L257)),$L257,"")</f>
        <v/>
      </c>
      <c r="AI257" s="16" t="str">
        <f aca="false">IF(AND(ISNUMBER(SEARCH(" AC "," "&amp;SUBSTITUTE($I257,","," ")&amp;" ")),ISNUMBER($L257)),$L257,"")</f>
        <v/>
      </c>
      <c r="AJ257" s="16" t="str">
        <f aca="false">IF(AND(ISNUMBER(SEARCH(" MAC "," "&amp;SUBSTITUTE($I257,","," ")&amp;" ")),ISNUMBER($L257)),$L257,"")</f>
        <v/>
      </c>
      <c r="AK257" s="16" t="str">
        <f aca="false">IF(AND(ISNUMBER(SEARCH(" UAH "," "&amp;SUBSTITUTE($I257,","," ")&amp;" ")),ISNUMBER($L257)),$L257,"")</f>
        <v/>
      </c>
      <c r="AL257" s="16" t="str">
        <f aca="false">IF(AND(ISNUMBER(SEARCH(" RB "," "&amp;SUBSTITUTE($I257,","," ")&amp;" ")),ISNUMBER($L257)),$L257,"")</f>
        <v/>
      </c>
    </row>
    <row r="258" customFormat="false" ht="15" hidden="false" customHeight="false" outlineLevel="0" collapsed="false">
      <c r="M258" s="13" t="str">
        <f aca="false">IF(ISNUMBER(L258),IF(L258&lt;K258,"Gap","OK"),IF(L258="N/A","N/A",""))</f>
        <v/>
      </c>
      <c r="P258" s="13" t="str">
        <f aca="false">IF(AND(M258="Gap",N258&lt;&gt;"",O258&lt;&gt;""),VLOOKUP(N258&amp;O258,Lists!$H$4:$I$12,2,FALSE()),"")</f>
        <v/>
      </c>
      <c r="Q258" s="13" t="str">
        <f aca="false">IF(AND(M258="Gap",O258="S",OR(N258="H",N258="M")),"Yes","")</f>
        <v/>
      </c>
      <c r="S258" s="14" t="str">
        <f aca="false">IF(A258="","",IFERROR(IF(OR(VLOOKUP(A258,AutoEvidence!$A$2:$G$400,2,FALSE())="Collected",VLOOKUP(A258,AutoEvidence!$A$2:$G$400,2,FALSE())="Partial"),VLOOKUP(A258,AutoEvidence!$A$2:$G$400,3,FALSE())&amp;" ("&amp;VLOOKUP(A258,AutoEvidence!$A$2:$G$400,2,FALSE())&amp;")",VLOOKUP(A258,AutoEvidence!$A$2:$G$400,2,FALSE())),""))</f>
        <v/>
      </c>
      <c r="T258" s="7" t="str">
        <f aca="false">IF(A258="","",IFERROR(VLOOKUP(A258,AutoEvidence!$A$2:$G$400,4,FALSE())&amp;"",""))</f>
        <v/>
      </c>
      <c r="AB258" s="13" t="str">
        <f aca="false">IF(M258="Gap",1,IF(M258="OK",0,""))</f>
        <v/>
      </c>
      <c r="AC258" s="16" t="str">
        <f aca="false">IF(P258&lt;&gt;"",VALUE(RIGHT(P258,1))*1000+ROW(),"")</f>
        <v/>
      </c>
      <c r="AD258" s="16" t="str">
        <f aca="false">IF(ISNUMBER(L258),MIN(L258,K258),"")</f>
        <v/>
      </c>
      <c r="AE258" s="16" t="str">
        <f aca="false">IF(AND(ISNUMBER(SEARCH(" PA "," "&amp;SUBSTITUTE($I258,","," ")&amp;" ")),ISNUMBER($L258)),$L258,"")</f>
        <v/>
      </c>
      <c r="AF258" s="16" t="str">
        <f aca="false">IF(AND(ISNUMBER(SEARCH(" PO "," "&amp;SUBSTITUTE($I258,","," ")&amp;" ")),ISNUMBER($L258)),$L258,"")</f>
        <v/>
      </c>
      <c r="AG258" s="16" t="str">
        <f aca="false">IF(AND(ISNUMBER(SEARCH(" MFA "," "&amp;SUBSTITUTE($I258,","," ")&amp;" ")),ISNUMBER($L258)),$L258,"")</f>
        <v/>
      </c>
      <c r="AH258" s="16" t="str">
        <f aca="false">IF(AND(ISNUMBER(SEARCH(" RAP "," "&amp;SUBSTITUTE($I258,","," ")&amp;" ")),ISNUMBER($L258)),$L258,"")</f>
        <v/>
      </c>
      <c r="AI258" s="16" t="str">
        <f aca="false">IF(AND(ISNUMBER(SEARCH(" AC "," "&amp;SUBSTITUTE($I258,","," ")&amp;" ")),ISNUMBER($L258)),$L258,"")</f>
        <v/>
      </c>
      <c r="AJ258" s="16" t="str">
        <f aca="false">IF(AND(ISNUMBER(SEARCH(" MAC "," "&amp;SUBSTITUTE($I258,","," ")&amp;" ")),ISNUMBER($L258)),$L258,"")</f>
        <v/>
      </c>
      <c r="AK258" s="16" t="str">
        <f aca="false">IF(AND(ISNUMBER(SEARCH(" UAH "," "&amp;SUBSTITUTE($I258,","," ")&amp;" ")),ISNUMBER($L258)),$L258,"")</f>
        <v/>
      </c>
      <c r="AL258" s="16" t="str">
        <f aca="false">IF(AND(ISNUMBER(SEARCH(" RB "," "&amp;SUBSTITUTE($I258,","," ")&amp;" ")),ISNUMBER($L258)),$L258,"")</f>
        <v/>
      </c>
    </row>
    <row r="259" customFormat="false" ht="15" hidden="false" customHeight="false" outlineLevel="0" collapsed="false">
      <c r="M259" s="13" t="str">
        <f aca="false">IF(ISNUMBER(L259),IF(L259&lt;K259,"Gap","OK"),IF(L259="N/A","N/A",""))</f>
        <v/>
      </c>
      <c r="P259" s="13" t="str">
        <f aca="false">IF(AND(M259="Gap",N259&lt;&gt;"",O259&lt;&gt;""),VLOOKUP(N259&amp;O259,Lists!$H$4:$I$12,2,FALSE()),"")</f>
        <v/>
      </c>
      <c r="Q259" s="13" t="str">
        <f aca="false">IF(AND(M259="Gap",O259="S",OR(N259="H",N259="M")),"Yes","")</f>
        <v/>
      </c>
      <c r="S259" s="14" t="str">
        <f aca="false">IF(A259="","",IFERROR(IF(OR(VLOOKUP(A259,AutoEvidence!$A$2:$G$400,2,FALSE())="Collected",VLOOKUP(A259,AutoEvidence!$A$2:$G$400,2,FALSE())="Partial"),VLOOKUP(A259,AutoEvidence!$A$2:$G$400,3,FALSE())&amp;" ("&amp;VLOOKUP(A259,AutoEvidence!$A$2:$G$400,2,FALSE())&amp;")",VLOOKUP(A259,AutoEvidence!$A$2:$G$400,2,FALSE())),""))</f>
        <v/>
      </c>
      <c r="T259" s="7" t="str">
        <f aca="false">IF(A259="","",IFERROR(VLOOKUP(A259,AutoEvidence!$A$2:$G$400,4,FALSE())&amp;"",""))</f>
        <v/>
      </c>
      <c r="AB259" s="13" t="str">
        <f aca="false">IF(M259="Gap",1,IF(M259="OK",0,""))</f>
        <v/>
      </c>
      <c r="AC259" s="16" t="str">
        <f aca="false">IF(P259&lt;&gt;"",VALUE(RIGHT(P259,1))*1000+ROW(),"")</f>
        <v/>
      </c>
      <c r="AD259" s="16" t="str">
        <f aca="false">IF(ISNUMBER(L259),MIN(L259,K259),"")</f>
        <v/>
      </c>
      <c r="AE259" s="16" t="str">
        <f aca="false">IF(AND(ISNUMBER(SEARCH(" PA "," "&amp;SUBSTITUTE($I259,","," ")&amp;" ")),ISNUMBER($L259)),$L259,"")</f>
        <v/>
      </c>
      <c r="AF259" s="16" t="str">
        <f aca="false">IF(AND(ISNUMBER(SEARCH(" PO "," "&amp;SUBSTITUTE($I259,","," ")&amp;" ")),ISNUMBER($L259)),$L259,"")</f>
        <v/>
      </c>
      <c r="AG259" s="16" t="str">
        <f aca="false">IF(AND(ISNUMBER(SEARCH(" MFA "," "&amp;SUBSTITUTE($I259,","," ")&amp;" ")),ISNUMBER($L259)),$L259,"")</f>
        <v/>
      </c>
      <c r="AH259" s="16" t="str">
        <f aca="false">IF(AND(ISNUMBER(SEARCH(" RAP "," "&amp;SUBSTITUTE($I259,","," ")&amp;" ")),ISNUMBER($L259)),$L259,"")</f>
        <v/>
      </c>
      <c r="AI259" s="16" t="str">
        <f aca="false">IF(AND(ISNUMBER(SEARCH(" AC "," "&amp;SUBSTITUTE($I259,","," ")&amp;" ")),ISNUMBER($L259)),$L259,"")</f>
        <v/>
      </c>
      <c r="AJ259" s="16" t="str">
        <f aca="false">IF(AND(ISNUMBER(SEARCH(" MAC "," "&amp;SUBSTITUTE($I259,","," ")&amp;" ")),ISNUMBER($L259)),$L259,"")</f>
        <v/>
      </c>
      <c r="AK259" s="16" t="str">
        <f aca="false">IF(AND(ISNUMBER(SEARCH(" UAH "," "&amp;SUBSTITUTE($I259,","," ")&amp;" ")),ISNUMBER($L259)),$L259,"")</f>
        <v/>
      </c>
      <c r="AL259" s="16" t="str">
        <f aca="false">IF(AND(ISNUMBER(SEARCH(" RB "," "&amp;SUBSTITUTE($I259,","," ")&amp;" ")),ISNUMBER($L259)),$L259,"")</f>
        <v/>
      </c>
    </row>
    <row r="260" customFormat="false" ht="15" hidden="false" customHeight="false" outlineLevel="0" collapsed="false">
      <c r="M260" s="13" t="str">
        <f aca="false">IF(ISNUMBER(L260),IF(L260&lt;K260,"Gap","OK"),IF(L260="N/A","N/A",""))</f>
        <v/>
      </c>
      <c r="P260" s="13" t="str">
        <f aca="false">IF(AND(M260="Gap",N260&lt;&gt;"",O260&lt;&gt;""),VLOOKUP(N260&amp;O260,Lists!$H$4:$I$12,2,FALSE()),"")</f>
        <v/>
      </c>
      <c r="Q260" s="13" t="str">
        <f aca="false">IF(AND(M260="Gap",O260="S",OR(N260="H",N260="M")),"Yes","")</f>
        <v/>
      </c>
      <c r="S260" s="14" t="str">
        <f aca="false">IF(A260="","",IFERROR(IF(OR(VLOOKUP(A260,AutoEvidence!$A$2:$G$400,2,FALSE())="Collected",VLOOKUP(A260,AutoEvidence!$A$2:$G$400,2,FALSE())="Partial"),VLOOKUP(A260,AutoEvidence!$A$2:$G$400,3,FALSE())&amp;" ("&amp;VLOOKUP(A260,AutoEvidence!$A$2:$G$400,2,FALSE())&amp;")",VLOOKUP(A260,AutoEvidence!$A$2:$G$400,2,FALSE())),""))</f>
        <v/>
      </c>
      <c r="T260" s="7" t="str">
        <f aca="false">IF(A260="","",IFERROR(VLOOKUP(A260,AutoEvidence!$A$2:$G$400,4,FALSE())&amp;"",""))</f>
        <v/>
      </c>
      <c r="AB260" s="13" t="str">
        <f aca="false">IF(M260="Gap",1,IF(M260="OK",0,""))</f>
        <v/>
      </c>
      <c r="AC260" s="16" t="str">
        <f aca="false">IF(P260&lt;&gt;"",VALUE(RIGHT(P260,1))*1000+ROW(),"")</f>
        <v/>
      </c>
      <c r="AD260" s="16" t="str">
        <f aca="false">IF(ISNUMBER(L260),MIN(L260,K260),"")</f>
        <v/>
      </c>
      <c r="AE260" s="16" t="str">
        <f aca="false">IF(AND(ISNUMBER(SEARCH(" PA "," "&amp;SUBSTITUTE($I260,","," ")&amp;" ")),ISNUMBER($L260)),$L260,"")</f>
        <v/>
      </c>
      <c r="AF260" s="16" t="str">
        <f aca="false">IF(AND(ISNUMBER(SEARCH(" PO "," "&amp;SUBSTITUTE($I260,","," ")&amp;" ")),ISNUMBER($L260)),$L260,"")</f>
        <v/>
      </c>
      <c r="AG260" s="16" t="str">
        <f aca="false">IF(AND(ISNUMBER(SEARCH(" MFA "," "&amp;SUBSTITUTE($I260,","," ")&amp;" ")),ISNUMBER($L260)),$L260,"")</f>
        <v/>
      </c>
      <c r="AH260" s="16" t="str">
        <f aca="false">IF(AND(ISNUMBER(SEARCH(" RAP "," "&amp;SUBSTITUTE($I260,","," ")&amp;" ")),ISNUMBER($L260)),$L260,"")</f>
        <v/>
      </c>
      <c r="AI260" s="16" t="str">
        <f aca="false">IF(AND(ISNUMBER(SEARCH(" AC "," "&amp;SUBSTITUTE($I260,","," ")&amp;" ")),ISNUMBER($L260)),$L260,"")</f>
        <v/>
      </c>
      <c r="AJ260" s="16" t="str">
        <f aca="false">IF(AND(ISNUMBER(SEARCH(" MAC "," "&amp;SUBSTITUTE($I260,","," ")&amp;" ")),ISNUMBER($L260)),$L260,"")</f>
        <v/>
      </c>
      <c r="AK260" s="16" t="str">
        <f aca="false">IF(AND(ISNUMBER(SEARCH(" UAH "," "&amp;SUBSTITUTE($I260,","," ")&amp;" ")),ISNUMBER($L260)),$L260,"")</f>
        <v/>
      </c>
      <c r="AL260" s="16" t="str">
        <f aca="false">IF(AND(ISNUMBER(SEARCH(" RB "," "&amp;SUBSTITUTE($I260,","," ")&amp;" ")),ISNUMBER($L260)),$L260,"")</f>
        <v/>
      </c>
    </row>
    <row r="261" customFormat="false" ht="15" hidden="false" customHeight="false" outlineLevel="0" collapsed="false">
      <c r="M261" s="13" t="str">
        <f aca="false">IF(ISNUMBER(L261),IF(L261&lt;K261,"Gap","OK"),IF(L261="N/A","N/A",""))</f>
        <v/>
      </c>
      <c r="P261" s="13" t="str">
        <f aca="false">IF(AND(M261="Gap",N261&lt;&gt;"",O261&lt;&gt;""),VLOOKUP(N261&amp;O261,Lists!$H$4:$I$12,2,FALSE()),"")</f>
        <v/>
      </c>
      <c r="Q261" s="13" t="str">
        <f aca="false">IF(AND(M261="Gap",O261="S",OR(N261="H",N261="M")),"Yes","")</f>
        <v/>
      </c>
      <c r="S261" s="14" t="str">
        <f aca="false">IF(A261="","",IFERROR(IF(OR(VLOOKUP(A261,AutoEvidence!$A$2:$G$400,2,FALSE())="Collected",VLOOKUP(A261,AutoEvidence!$A$2:$G$400,2,FALSE())="Partial"),VLOOKUP(A261,AutoEvidence!$A$2:$G$400,3,FALSE())&amp;" ("&amp;VLOOKUP(A261,AutoEvidence!$A$2:$G$400,2,FALSE())&amp;")",VLOOKUP(A261,AutoEvidence!$A$2:$G$400,2,FALSE())),""))</f>
        <v/>
      </c>
      <c r="T261" s="7" t="str">
        <f aca="false">IF(A261="","",IFERROR(VLOOKUP(A261,AutoEvidence!$A$2:$G$400,4,FALSE())&amp;"",""))</f>
        <v/>
      </c>
      <c r="AB261" s="13" t="str">
        <f aca="false">IF(M261="Gap",1,IF(M261="OK",0,""))</f>
        <v/>
      </c>
      <c r="AC261" s="16" t="str">
        <f aca="false">IF(P261&lt;&gt;"",VALUE(RIGHT(P261,1))*1000+ROW(),"")</f>
        <v/>
      </c>
      <c r="AD261" s="16" t="str">
        <f aca="false">IF(ISNUMBER(L261),MIN(L261,K261),"")</f>
        <v/>
      </c>
      <c r="AE261" s="16" t="str">
        <f aca="false">IF(AND(ISNUMBER(SEARCH(" PA "," "&amp;SUBSTITUTE($I261,","," ")&amp;" ")),ISNUMBER($L261)),$L261,"")</f>
        <v/>
      </c>
      <c r="AF261" s="16" t="str">
        <f aca="false">IF(AND(ISNUMBER(SEARCH(" PO "," "&amp;SUBSTITUTE($I261,","," ")&amp;" ")),ISNUMBER($L261)),$L261,"")</f>
        <v/>
      </c>
      <c r="AG261" s="16" t="str">
        <f aca="false">IF(AND(ISNUMBER(SEARCH(" MFA "," "&amp;SUBSTITUTE($I261,","," ")&amp;" ")),ISNUMBER($L261)),$L261,"")</f>
        <v/>
      </c>
      <c r="AH261" s="16" t="str">
        <f aca="false">IF(AND(ISNUMBER(SEARCH(" RAP "," "&amp;SUBSTITUTE($I261,","," ")&amp;" ")),ISNUMBER($L261)),$L261,"")</f>
        <v/>
      </c>
      <c r="AI261" s="16" t="str">
        <f aca="false">IF(AND(ISNUMBER(SEARCH(" AC "," "&amp;SUBSTITUTE($I261,","," ")&amp;" ")),ISNUMBER($L261)),$L261,"")</f>
        <v/>
      </c>
      <c r="AJ261" s="16" t="str">
        <f aca="false">IF(AND(ISNUMBER(SEARCH(" MAC "," "&amp;SUBSTITUTE($I261,","," ")&amp;" ")),ISNUMBER($L261)),$L261,"")</f>
        <v/>
      </c>
      <c r="AK261" s="16" t="str">
        <f aca="false">IF(AND(ISNUMBER(SEARCH(" UAH "," "&amp;SUBSTITUTE($I261,","," ")&amp;" ")),ISNUMBER($L261)),$L261,"")</f>
        <v/>
      </c>
      <c r="AL261" s="16" t="str">
        <f aca="false">IF(AND(ISNUMBER(SEARCH(" RB "," "&amp;SUBSTITUTE($I261,","," ")&amp;" ")),ISNUMBER($L261)),$L261,"")</f>
        <v/>
      </c>
    </row>
    <row r="262" customFormat="false" ht="15" hidden="false" customHeight="false" outlineLevel="0" collapsed="false">
      <c r="M262" s="13" t="str">
        <f aca="false">IF(ISNUMBER(L262),IF(L262&lt;K262,"Gap","OK"),IF(L262="N/A","N/A",""))</f>
        <v/>
      </c>
      <c r="P262" s="13" t="str">
        <f aca="false">IF(AND(M262="Gap",N262&lt;&gt;"",O262&lt;&gt;""),VLOOKUP(N262&amp;O262,Lists!$H$4:$I$12,2,FALSE()),"")</f>
        <v/>
      </c>
      <c r="Q262" s="13" t="str">
        <f aca="false">IF(AND(M262="Gap",O262="S",OR(N262="H",N262="M")),"Yes","")</f>
        <v/>
      </c>
      <c r="S262" s="14" t="str">
        <f aca="false">IF(A262="","",IFERROR(IF(OR(VLOOKUP(A262,AutoEvidence!$A$2:$G$400,2,FALSE())="Collected",VLOOKUP(A262,AutoEvidence!$A$2:$G$400,2,FALSE())="Partial"),VLOOKUP(A262,AutoEvidence!$A$2:$G$400,3,FALSE())&amp;" ("&amp;VLOOKUP(A262,AutoEvidence!$A$2:$G$400,2,FALSE())&amp;")",VLOOKUP(A262,AutoEvidence!$A$2:$G$400,2,FALSE())),""))</f>
        <v/>
      </c>
      <c r="T262" s="7" t="str">
        <f aca="false">IF(A262="","",IFERROR(VLOOKUP(A262,AutoEvidence!$A$2:$G$400,4,FALSE())&amp;"",""))</f>
        <v/>
      </c>
      <c r="AB262" s="13" t="str">
        <f aca="false">IF(M262="Gap",1,IF(M262="OK",0,""))</f>
        <v/>
      </c>
      <c r="AC262" s="16" t="str">
        <f aca="false">IF(P262&lt;&gt;"",VALUE(RIGHT(P262,1))*1000+ROW(),"")</f>
        <v/>
      </c>
      <c r="AD262" s="16" t="str">
        <f aca="false">IF(ISNUMBER(L262),MIN(L262,K262),"")</f>
        <v/>
      </c>
      <c r="AE262" s="16" t="str">
        <f aca="false">IF(AND(ISNUMBER(SEARCH(" PA "," "&amp;SUBSTITUTE($I262,","," ")&amp;" ")),ISNUMBER($L262)),$L262,"")</f>
        <v/>
      </c>
      <c r="AF262" s="16" t="str">
        <f aca="false">IF(AND(ISNUMBER(SEARCH(" PO "," "&amp;SUBSTITUTE($I262,","," ")&amp;" ")),ISNUMBER($L262)),$L262,"")</f>
        <v/>
      </c>
      <c r="AG262" s="16" t="str">
        <f aca="false">IF(AND(ISNUMBER(SEARCH(" MFA "," "&amp;SUBSTITUTE($I262,","," ")&amp;" ")),ISNUMBER($L262)),$L262,"")</f>
        <v/>
      </c>
      <c r="AH262" s="16" t="str">
        <f aca="false">IF(AND(ISNUMBER(SEARCH(" RAP "," "&amp;SUBSTITUTE($I262,","," ")&amp;" ")),ISNUMBER($L262)),$L262,"")</f>
        <v/>
      </c>
      <c r="AI262" s="16" t="str">
        <f aca="false">IF(AND(ISNUMBER(SEARCH(" AC "," "&amp;SUBSTITUTE($I262,","," ")&amp;" ")),ISNUMBER($L262)),$L262,"")</f>
        <v/>
      </c>
      <c r="AJ262" s="16" t="str">
        <f aca="false">IF(AND(ISNUMBER(SEARCH(" MAC "," "&amp;SUBSTITUTE($I262,","," ")&amp;" ")),ISNUMBER($L262)),$L262,"")</f>
        <v/>
      </c>
      <c r="AK262" s="16" t="str">
        <f aca="false">IF(AND(ISNUMBER(SEARCH(" UAH "," "&amp;SUBSTITUTE($I262,","," ")&amp;" ")),ISNUMBER($L262)),$L262,"")</f>
        <v/>
      </c>
      <c r="AL262" s="16" t="str">
        <f aca="false">IF(AND(ISNUMBER(SEARCH(" RB "," "&amp;SUBSTITUTE($I262,","," ")&amp;" ")),ISNUMBER($L262)),$L262,"")</f>
        <v/>
      </c>
    </row>
    <row r="263" customFormat="false" ht="15" hidden="false" customHeight="false" outlineLevel="0" collapsed="false">
      <c r="M263" s="13" t="str">
        <f aca="false">IF(ISNUMBER(L263),IF(L263&lt;K263,"Gap","OK"),IF(L263="N/A","N/A",""))</f>
        <v/>
      </c>
      <c r="P263" s="13" t="str">
        <f aca="false">IF(AND(M263="Gap",N263&lt;&gt;"",O263&lt;&gt;""),VLOOKUP(N263&amp;O263,Lists!$H$4:$I$12,2,FALSE()),"")</f>
        <v/>
      </c>
      <c r="Q263" s="13" t="str">
        <f aca="false">IF(AND(M263="Gap",O263="S",OR(N263="H",N263="M")),"Yes","")</f>
        <v/>
      </c>
      <c r="S263" s="14" t="str">
        <f aca="false">IF(A263="","",IFERROR(IF(OR(VLOOKUP(A263,AutoEvidence!$A$2:$G$400,2,FALSE())="Collected",VLOOKUP(A263,AutoEvidence!$A$2:$G$400,2,FALSE())="Partial"),VLOOKUP(A263,AutoEvidence!$A$2:$G$400,3,FALSE())&amp;" ("&amp;VLOOKUP(A263,AutoEvidence!$A$2:$G$400,2,FALSE())&amp;")",VLOOKUP(A263,AutoEvidence!$A$2:$G$400,2,FALSE())),""))</f>
        <v/>
      </c>
      <c r="T263" s="7" t="str">
        <f aca="false">IF(A263="","",IFERROR(VLOOKUP(A263,AutoEvidence!$A$2:$G$400,4,FALSE())&amp;"",""))</f>
        <v/>
      </c>
      <c r="AB263" s="13" t="str">
        <f aca="false">IF(M263="Gap",1,IF(M263="OK",0,""))</f>
        <v/>
      </c>
      <c r="AC263" s="16" t="str">
        <f aca="false">IF(P263&lt;&gt;"",VALUE(RIGHT(P263,1))*1000+ROW(),"")</f>
        <v/>
      </c>
      <c r="AD263" s="16" t="str">
        <f aca="false">IF(ISNUMBER(L263),MIN(L263,K263),"")</f>
        <v/>
      </c>
      <c r="AE263" s="16" t="str">
        <f aca="false">IF(AND(ISNUMBER(SEARCH(" PA "," "&amp;SUBSTITUTE($I263,","," ")&amp;" ")),ISNUMBER($L263)),$L263,"")</f>
        <v/>
      </c>
      <c r="AF263" s="16" t="str">
        <f aca="false">IF(AND(ISNUMBER(SEARCH(" PO "," "&amp;SUBSTITUTE($I263,","," ")&amp;" ")),ISNUMBER($L263)),$L263,"")</f>
        <v/>
      </c>
      <c r="AG263" s="16" t="str">
        <f aca="false">IF(AND(ISNUMBER(SEARCH(" MFA "," "&amp;SUBSTITUTE($I263,","," ")&amp;" ")),ISNUMBER($L263)),$L263,"")</f>
        <v/>
      </c>
      <c r="AH263" s="16" t="str">
        <f aca="false">IF(AND(ISNUMBER(SEARCH(" RAP "," "&amp;SUBSTITUTE($I263,","," ")&amp;" ")),ISNUMBER($L263)),$L263,"")</f>
        <v/>
      </c>
      <c r="AI263" s="16" t="str">
        <f aca="false">IF(AND(ISNUMBER(SEARCH(" AC "," "&amp;SUBSTITUTE($I263,","," ")&amp;" ")),ISNUMBER($L263)),$L263,"")</f>
        <v/>
      </c>
      <c r="AJ263" s="16" t="str">
        <f aca="false">IF(AND(ISNUMBER(SEARCH(" MAC "," "&amp;SUBSTITUTE($I263,","," ")&amp;" ")),ISNUMBER($L263)),$L263,"")</f>
        <v/>
      </c>
      <c r="AK263" s="16" t="str">
        <f aca="false">IF(AND(ISNUMBER(SEARCH(" UAH "," "&amp;SUBSTITUTE($I263,","," ")&amp;" ")),ISNUMBER($L263)),$L263,"")</f>
        <v/>
      </c>
      <c r="AL263" s="16" t="str">
        <f aca="false">IF(AND(ISNUMBER(SEARCH(" RB "," "&amp;SUBSTITUTE($I263,","," ")&amp;" ")),ISNUMBER($L263)),$L263,"")</f>
        <v/>
      </c>
    </row>
    <row r="264" customFormat="false" ht="15" hidden="false" customHeight="false" outlineLevel="0" collapsed="false">
      <c r="M264" s="13" t="str">
        <f aca="false">IF(ISNUMBER(L264),IF(L264&lt;K264,"Gap","OK"),IF(L264="N/A","N/A",""))</f>
        <v/>
      </c>
      <c r="P264" s="13" t="str">
        <f aca="false">IF(AND(M264="Gap",N264&lt;&gt;"",O264&lt;&gt;""),VLOOKUP(N264&amp;O264,Lists!$H$4:$I$12,2,FALSE()),"")</f>
        <v/>
      </c>
      <c r="Q264" s="13" t="str">
        <f aca="false">IF(AND(M264="Gap",O264="S",OR(N264="H",N264="M")),"Yes","")</f>
        <v/>
      </c>
      <c r="S264" s="14" t="str">
        <f aca="false">IF(A264="","",IFERROR(IF(OR(VLOOKUP(A264,AutoEvidence!$A$2:$G$400,2,FALSE())="Collected",VLOOKUP(A264,AutoEvidence!$A$2:$G$400,2,FALSE())="Partial"),VLOOKUP(A264,AutoEvidence!$A$2:$G$400,3,FALSE())&amp;" ("&amp;VLOOKUP(A264,AutoEvidence!$A$2:$G$400,2,FALSE())&amp;")",VLOOKUP(A264,AutoEvidence!$A$2:$G$400,2,FALSE())),""))</f>
        <v/>
      </c>
      <c r="T264" s="7" t="str">
        <f aca="false">IF(A264="","",IFERROR(VLOOKUP(A264,AutoEvidence!$A$2:$G$400,4,FALSE())&amp;"",""))</f>
        <v/>
      </c>
      <c r="AB264" s="13" t="str">
        <f aca="false">IF(M264="Gap",1,IF(M264="OK",0,""))</f>
        <v/>
      </c>
      <c r="AC264" s="16" t="str">
        <f aca="false">IF(P264&lt;&gt;"",VALUE(RIGHT(P264,1))*1000+ROW(),"")</f>
        <v/>
      </c>
      <c r="AD264" s="16" t="str">
        <f aca="false">IF(ISNUMBER(L264),MIN(L264,K264),"")</f>
        <v/>
      </c>
      <c r="AE264" s="16" t="str">
        <f aca="false">IF(AND(ISNUMBER(SEARCH(" PA "," "&amp;SUBSTITUTE($I264,","," ")&amp;" ")),ISNUMBER($L264)),$L264,"")</f>
        <v/>
      </c>
      <c r="AF264" s="16" t="str">
        <f aca="false">IF(AND(ISNUMBER(SEARCH(" PO "," "&amp;SUBSTITUTE($I264,","," ")&amp;" ")),ISNUMBER($L264)),$L264,"")</f>
        <v/>
      </c>
      <c r="AG264" s="16" t="str">
        <f aca="false">IF(AND(ISNUMBER(SEARCH(" MFA "," "&amp;SUBSTITUTE($I264,","," ")&amp;" ")),ISNUMBER($L264)),$L264,"")</f>
        <v/>
      </c>
      <c r="AH264" s="16" t="str">
        <f aca="false">IF(AND(ISNUMBER(SEARCH(" RAP "," "&amp;SUBSTITUTE($I264,","," ")&amp;" ")),ISNUMBER($L264)),$L264,"")</f>
        <v/>
      </c>
      <c r="AI264" s="16" t="str">
        <f aca="false">IF(AND(ISNUMBER(SEARCH(" AC "," "&amp;SUBSTITUTE($I264,","," ")&amp;" ")),ISNUMBER($L264)),$L264,"")</f>
        <v/>
      </c>
      <c r="AJ264" s="16" t="str">
        <f aca="false">IF(AND(ISNUMBER(SEARCH(" MAC "," "&amp;SUBSTITUTE($I264,","," ")&amp;" ")),ISNUMBER($L264)),$L264,"")</f>
        <v/>
      </c>
      <c r="AK264" s="16" t="str">
        <f aca="false">IF(AND(ISNUMBER(SEARCH(" UAH "," "&amp;SUBSTITUTE($I264,","," ")&amp;" ")),ISNUMBER($L264)),$L264,"")</f>
        <v/>
      </c>
      <c r="AL264" s="16" t="str">
        <f aca="false">IF(AND(ISNUMBER(SEARCH(" RB "," "&amp;SUBSTITUTE($I264,","," ")&amp;" ")),ISNUMBER($L264)),$L264,"")</f>
        <v/>
      </c>
    </row>
    <row r="265" customFormat="false" ht="15" hidden="false" customHeight="false" outlineLevel="0" collapsed="false">
      <c r="M265" s="13" t="str">
        <f aca="false">IF(ISNUMBER(L265),IF(L265&lt;K265,"Gap","OK"),IF(L265="N/A","N/A",""))</f>
        <v/>
      </c>
      <c r="P265" s="13" t="str">
        <f aca="false">IF(AND(M265="Gap",N265&lt;&gt;"",O265&lt;&gt;""),VLOOKUP(N265&amp;O265,Lists!$H$4:$I$12,2,FALSE()),"")</f>
        <v/>
      </c>
      <c r="Q265" s="13" t="str">
        <f aca="false">IF(AND(M265="Gap",O265="S",OR(N265="H",N265="M")),"Yes","")</f>
        <v/>
      </c>
      <c r="S265" s="14" t="str">
        <f aca="false">IF(A265="","",IFERROR(IF(OR(VLOOKUP(A265,AutoEvidence!$A$2:$G$400,2,FALSE())="Collected",VLOOKUP(A265,AutoEvidence!$A$2:$G$400,2,FALSE())="Partial"),VLOOKUP(A265,AutoEvidence!$A$2:$G$400,3,FALSE())&amp;" ("&amp;VLOOKUP(A265,AutoEvidence!$A$2:$G$400,2,FALSE())&amp;")",VLOOKUP(A265,AutoEvidence!$A$2:$G$400,2,FALSE())),""))</f>
        <v/>
      </c>
      <c r="T265" s="7" t="str">
        <f aca="false">IF(A265="","",IFERROR(VLOOKUP(A265,AutoEvidence!$A$2:$G$400,4,FALSE())&amp;"",""))</f>
        <v/>
      </c>
      <c r="AB265" s="13" t="str">
        <f aca="false">IF(M265="Gap",1,IF(M265="OK",0,""))</f>
        <v/>
      </c>
      <c r="AC265" s="16" t="str">
        <f aca="false">IF(P265&lt;&gt;"",VALUE(RIGHT(P265,1))*1000+ROW(),"")</f>
        <v/>
      </c>
      <c r="AD265" s="16" t="str">
        <f aca="false">IF(ISNUMBER(L265),MIN(L265,K265),"")</f>
        <v/>
      </c>
      <c r="AE265" s="16" t="str">
        <f aca="false">IF(AND(ISNUMBER(SEARCH(" PA "," "&amp;SUBSTITUTE($I265,","," ")&amp;" ")),ISNUMBER($L265)),$L265,"")</f>
        <v/>
      </c>
      <c r="AF265" s="16" t="str">
        <f aca="false">IF(AND(ISNUMBER(SEARCH(" PO "," "&amp;SUBSTITUTE($I265,","," ")&amp;" ")),ISNUMBER($L265)),$L265,"")</f>
        <v/>
      </c>
      <c r="AG265" s="16" t="str">
        <f aca="false">IF(AND(ISNUMBER(SEARCH(" MFA "," "&amp;SUBSTITUTE($I265,","," ")&amp;" ")),ISNUMBER($L265)),$L265,"")</f>
        <v/>
      </c>
      <c r="AH265" s="16" t="str">
        <f aca="false">IF(AND(ISNUMBER(SEARCH(" RAP "," "&amp;SUBSTITUTE($I265,","," ")&amp;" ")),ISNUMBER($L265)),$L265,"")</f>
        <v/>
      </c>
      <c r="AI265" s="16" t="str">
        <f aca="false">IF(AND(ISNUMBER(SEARCH(" AC "," "&amp;SUBSTITUTE($I265,","," ")&amp;" ")),ISNUMBER($L265)),$L265,"")</f>
        <v/>
      </c>
      <c r="AJ265" s="16" t="str">
        <f aca="false">IF(AND(ISNUMBER(SEARCH(" MAC "," "&amp;SUBSTITUTE($I265,","," ")&amp;" ")),ISNUMBER($L265)),$L265,"")</f>
        <v/>
      </c>
      <c r="AK265" s="16" t="str">
        <f aca="false">IF(AND(ISNUMBER(SEARCH(" UAH "," "&amp;SUBSTITUTE($I265,","," ")&amp;" ")),ISNUMBER($L265)),$L265,"")</f>
        <v/>
      </c>
      <c r="AL265" s="16" t="str">
        <f aca="false">IF(AND(ISNUMBER(SEARCH(" RB "," "&amp;SUBSTITUTE($I265,","," ")&amp;" ")),ISNUMBER($L265)),$L265,"")</f>
        <v/>
      </c>
    </row>
    <row r="266" customFormat="false" ht="15" hidden="false" customHeight="false" outlineLevel="0" collapsed="false">
      <c r="M266" s="13" t="str">
        <f aca="false">IF(ISNUMBER(L266),IF(L266&lt;K266,"Gap","OK"),IF(L266="N/A","N/A",""))</f>
        <v/>
      </c>
      <c r="P266" s="13" t="str">
        <f aca="false">IF(AND(M266="Gap",N266&lt;&gt;"",O266&lt;&gt;""),VLOOKUP(N266&amp;O266,Lists!$H$4:$I$12,2,FALSE()),"")</f>
        <v/>
      </c>
      <c r="Q266" s="13" t="str">
        <f aca="false">IF(AND(M266="Gap",O266="S",OR(N266="H",N266="M")),"Yes","")</f>
        <v/>
      </c>
      <c r="S266" s="14" t="str">
        <f aca="false">IF(A266="","",IFERROR(IF(OR(VLOOKUP(A266,AutoEvidence!$A$2:$G$400,2,FALSE())="Collected",VLOOKUP(A266,AutoEvidence!$A$2:$G$400,2,FALSE())="Partial"),VLOOKUP(A266,AutoEvidence!$A$2:$G$400,3,FALSE())&amp;" ("&amp;VLOOKUP(A266,AutoEvidence!$A$2:$G$400,2,FALSE())&amp;")",VLOOKUP(A266,AutoEvidence!$A$2:$G$400,2,FALSE())),""))</f>
        <v/>
      </c>
      <c r="T266" s="7" t="str">
        <f aca="false">IF(A266="","",IFERROR(VLOOKUP(A266,AutoEvidence!$A$2:$G$400,4,FALSE())&amp;"",""))</f>
        <v/>
      </c>
      <c r="AB266" s="13" t="str">
        <f aca="false">IF(M266="Gap",1,IF(M266="OK",0,""))</f>
        <v/>
      </c>
      <c r="AC266" s="16" t="str">
        <f aca="false">IF(P266&lt;&gt;"",VALUE(RIGHT(P266,1))*1000+ROW(),"")</f>
        <v/>
      </c>
      <c r="AD266" s="16" t="str">
        <f aca="false">IF(ISNUMBER(L266),MIN(L266,K266),"")</f>
        <v/>
      </c>
      <c r="AE266" s="16" t="str">
        <f aca="false">IF(AND(ISNUMBER(SEARCH(" PA "," "&amp;SUBSTITUTE($I266,","," ")&amp;" ")),ISNUMBER($L266)),$L266,"")</f>
        <v/>
      </c>
      <c r="AF266" s="16" t="str">
        <f aca="false">IF(AND(ISNUMBER(SEARCH(" PO "," "&amp;SUBSTITUTE($I266,","," ")&amp;" ")),ISNUMBER($L266)),$L266,"")</f>
        <v/>
      </c>
      <c r="AG266" s="16" t="str">
        <f aca="false">IF(AND(ISNUMBER(SEARCH(" MFA "," "&amp;SUBSTITUTE($I266,","," ")&amp;" ")),ISNUMBER($L266)),$L266,"")</f>
        <v/>
      </c>
      <c r="AH266" s="16" t="str">
        <f aca="false">IF(AND(ISNUMBER(SEARCH(" RAP "," "&amp;SUBSTITUTE($I266,","," ")&amp;" ")),ISNUMBER($L266)),$L266,"")</f>
        <v/>
      </c>
      <c r="AI266" s="16" t="str">
        <f aca="false">IF(AND(ISNUMBER(SEARCH(" AC "," "&amp;SUBSTITUTE($I266,","," ")&amp;" ")),ISNUMBER($L266)),$L266,"")</f>
        <v/>
      </c>
      <c r="AJ266" s="16" t="str">
        <f aca="false">IF(AND(ISNUMBER(SEARCH(" MAC "," "&amp;SUBSTITUTE($I266,","," ")&amp;" ")),ISNUMBER($L266)),$L266,"")</f>
        <v/>
      </c>
      <c r="AK266" s="16" t="str">
        <f aca="false">IF(AND(ISNUMBER(SEARCH(" UAH "," "&amp;SUBSTITUTE($I266,","," ")&amp;" ")),ISNUMBER($L266)),$L266,"")</f>
        <v/>
      </c>
      <c r="AL266" s="16" t="str">
        <f aca="false">IF(AND(ISNUMBER(SEARCH(" RB "," "&amp;SUBSTITUTE($I266,","," ")&amp;" ")),ISNUMBER($L266)),$L266,"")</f>
        <v/>
      </c>
    </row>
    <row r="267" customFormat="false" ht="15" hidden="false" customHeight="false" outlineLevel="0" collapsed="false">
      <c r="M267" s="13" t="str">
        <f aca="false">IF(ISNUMBER(L267),IF(L267&lt;K267,"Gap","OK"),IF(L267="N/A","N/A",""))</f>
        <v/>
      </c>
      <c r="P267" s="13" t="str">
        <f aca="false">IF(AND(M267="Gap",N267&lt;&gt;"",O267&lt;&gt;""),VLOOKUP(N267&amp;O267,Lists!$H$4:$I$12,2,FALSE()),"")</f>
        <v/>
      </c>
      <c r="Q267" s="13" t="str">
        <f aca="false">IF(AND(M267="Gap",O267="S",OR(N267="H",N267="M")),"Yes","")</f>
        <v/>
      </c>
      <c r="S267" s="14" t="str">
        <f aca="false">IF(A267="","",IFERROR(IF(OR(VLOOKUP(A267,AutoEvidence!$A$2:$G$400,2,FALSE())="Collected",VLOOKUP(A267,AutoEvidence!$A$2:$G$400,2,FALSE())="Partial"),VLOOKUP(A267,AutoEvidence!$A$2:$G$400,3,FALSE())&amp;" ("&amp;VLOOKUP(A267,AutoEvidence!$A$2:$G$400,2,FALSE())&amp;")",VLOOKUP(A267,AutoEvidence!$A$2:$G$400,2,FALSE())),""))</f>
        <v/>
      </c>
      <c r="T267" s="7" t="str">
        <f aca="false">IF(A267="","",IFERROR(VLOOKUP(A267,AutoEvidence!$A$2:$G$400,4,FALSE())&amp;"",""))</f>
        <v/>
      </c>
      <c r="AB267" s="13" t="str">
        <f aca="false">IF(M267="Gap",1,IF(M267="OK",0,""))</f>
        <v/>
      </c>
      <c r="AC267" s="16" t="str">
        <f aca="false">IF(P267&lt;&gt;"",VALUE(RIGHT(P267,1))*1000+ROW(),"")</f>
        <v/>
      </c>
      <c r="AD267" s="16" t="str">
        <f aca="false">IF(ISNUMBER(L267),MIN(L267,K267),"")</f>
        <v/>
      </c>
      <c r="AE267" s="16" t="str">
        <f aca="false">IF(AND(ISNUMBER(SEARCH(" PA "," "&amp;SUBSTITUTE($I267,","," ")&amp;" ")),ISNUMBER($L267)),$L267,"")</f>
        <v/>
      </c>
      <c r="AF267" s="16" t="str">
        <f aca="false">IF(AND(ISNUMBER(SEARCH(" PO "," "&amp;SUBSTITUTE($I267,","," ")&amp;" ")),ISNUMBER($L267)),$L267,"")</f>
        <v/>
      </c>
      <c r="AG267" s="16" t="str">
        <f aca="false">IF(AND(ISNUMBER(SEARCH(" MFA "," "&amp;SUBSTITUTE($I267,","," ")&amp;" ")),ISNUMBER($L267)),$L267,"")</f>
        <v/>
      </c>
      <c r="AH267" s="16" t="str">
        <f aca="false">IF(AND(ISNUMBER(SEARCH(" RAP "," "&amp;SUBSTITUTE($I267,","," ")&amp;" ")),ISNUMBER($L267)),$L267,"")</f>
        <v/>
      </c>
      <c r="AI267" s="16" t="str">
        <f aca="false">IF(AND(ISNUMBER(SEARCH(" AC "," "&amp;SUBSTITUTE($I267,","," ")&amp;" ")),ISNUMBER($L267)),$L267,"")</f>
        <v/>
      </c>
      <c r="AJ267" s="16" t="str">
        <f aca="false">IF(AND(ISNUMBER(SEARCH(" MAC "," "&amp;SUBSTITUTE($I267,","," ")&amp;" ")),ISNUMBER($L267)),$L267,"")</f>
        <v/>
      </c>
      <c r="AK267" s="16" t="str">
        <f aca="false">IF(AND(ISNUMBER(SEARCH(" UAH "," "&amp;SUBSTITUTE($I267,","," ")&amp;" ")),ISNUMBER($L267)),$L267,"")</f>
        <v/>
      </c>
      <c r="AL267" s="16" t="str">
        <f aca="false">IF(AND(ISNUMBER(SEARCH(" RB "," "&amp;SUBSTITUTE($I267,","," ")&amp;" ")),ISNUMBER($L267)),$L267,"")</f>
        <v/>
      </c>
    </row>
    <row r="268" customFormat="false" ht="15" hidden="false" customHeight="false" outlineLevel="0" collapsed="false">
      <c r="M268" s="13" t="str">
        <f aca="false">IF(ISNUMBER(L268),IF(L268&lt;K268,"Gap","OK"),IF(L268="N/A","N/A",""))</f>
        <v/>
      </c>
      <c r="P268" s="13" t="str">
        <f aca="false">IF(AND(M268="Gap",N268&lt;&gt;"",O268&lt;&gt;""),VLOOKUP(N268&amp;O268,Lists!$H$4:$I$12,2,FALSE()),"")</f>
        <v/>
      </c>
      <c r="Q268" s="13" t="str">
        <f aca="false">IF(AND(M268="Gap",O268="S",OR(N268="H",N268="M")),"Yes","")</f>
        <v/>
      </c>
      <c r="S268" s="14" t="str">
        <f aca="false">IF(A268="","",IFERROR(IF(OR(VLOOKUP(A268,AutoEvidence!$A$2:$G$400,2,FALSE())="Collected",VLOOKUP(A268,AutoEvidence!$A$2:$G$400,2,FALSE())="Partial"),VLOOKUP(A268,AutoEvidence!$A$2:$G$400,3,FALSE())&amp;" ("&amp;VLOOKUP(A268,AutoEvidence!$A$2:$G$400,2,FALSE())&amp;")",VLOOKUP(A268,AutoEvidence!$A$2:$G$400,2,FALSE())),""))</f>
        <v/>
      </c>
      <c r="T268" s="7" t="str">
        <f aca="false">IF(A268="","",IFERROR(VLOOKUP(A268,AutoEvidence!$A$2:$G$400,4,FALSE())&amp;"",""))</f>
        <v/>
      </c>
      <c r="AB268" s="13" t="str">
        <f aca="false">IF(M268="Gap",1,IF(M268="OK",0,""))</f>
        <v/>
      </c>
      <c r="AC268" s="16" t="str">
        <f aca="false">IF(P268&lt;&gt;"",VALUE(RIGHT(P268,1))*1000+ROW(),"")</f>
        <v/>
      </c>
      <c r="AD268" s="16" t="str">
        <f aca="false">IF(ISNUMBER(L268),MIN(L268,K268),"")</f>
        <v/>
      </c>
      <c r="AE268" s="16" t="str">
        <f aca="false">IF(AND(ISNUMBER(SEARCH(" PA "," "&amp;SUBSTITUTE($I268,","," ")&amp;" ")),ISNUMBER($L268)),$L268,"")</f>
        <v/>
      </c>
      <c r="AF268" s="16" t="str">
        <f aca="false">IF(AND(ISNUMBER(SEARCH(" PO "," "&amp;SUBSTITUTE($I268,","," ")&amp;" ")),ISNUMBER($L268)),$L268,"")</f>
        <v/>
      </c>
      <c r="AG268" s="16" t="str">
        <f aca="false">IF(AND(ISNUMBER(SEARCH(" MFA "," "&amp;SUBSTITUTE($I268,","," ")&amp;" ")),ISNUMBER($L268)),$L268,"")</f>
        <v/>
      </c>
      <c r="AH268" s="16" t="str">
        <f aca="false">IF(AND(ISNUMBER(SEARCH(" RAP "," "&amp;SUBSTITUTE($I268,","," ")&amp;" ")),ISNUMBER($L268)),$L268,"")</f>
        <v/>
      </c>
      <c r="AI268" s="16" t="str">
        <f aca="false">IF(AND(ISNUMBER(SEARCH(" AC "," "&amp;SUBSTITUTE($I268,","," ")&amp;" ")),ISNUMBER($L268)),$L268,"")</f>
        <v/>
      </c>
      <c r="AJ268" s="16" t="str">
        <f aca="false">IF(AND(ISNUMBER(SEARCH(" MAC "," "&amp;SUBSTITUTE($I268,","," ")&amp;" ")),ISNUMBER($L268)),$L268,"")</f>
        <v/>
      </c>
      <c r="AK268" s="16" t="str">
        <f aca="false">IF(AND(ISNUMBER(SEARCH(" UAH "," "&amp;SUBSTITUTE($I268,","," ")&amp;" ")),ISNUMBER($L268)),$L268,"")</f>
        <v/>
      </c>
      <c r="AL268" s="16" t="str">
        <f aca="false">IF(AND(ISNUMBER(SEARCH(" RB "," "&amp;SUBSTITUTE($I268,","," ")&amp;" ")),ISNUMBER($L268)),$L268,"")</f>
        <v/>
      </c>
    </row>
    <row r="269" customFormat="false" ht="15" hidden="false" customHeight="false" outlineLevel="0" collapsed="false">
      <c r="M269" s="13" t="str">
        <f aca="false">IF(ISNUMBER(L269),IF(L269&lt;K269,"Gap","OK"),IF(L269="N/A","N/A",""))</f>
        <v/>
      </c>
      <c r="P269" s="13" t="str">
        <f aca="false">IF(AND(M269="Gap",N269&lt;&gt;"",O269&lt;&gt;""),VLOOKUP(N269&amp;O269,Lists!$H$4:$I$12,2,FALSE()),"")</f>
        <v/>
      </c>
      <c r="Q269" s="13" t="str">
        <f aca="false">IF(AND(M269="Gap",O269="S",OR(N269="H",N269="M")),"Yes","")</f>
        <v/>
      </c>
      <c r="S269" s="14" t="str">
        <f aca="false">IF(A269="","",IFERROR(IF(OR(VLOOKUP(A269,AutoEvidence!$A$2:$G$400,2,FALSE())="Collected",VLOOKUP(A269,AutoEvidence!$A$2:$G$400,2,FALSE())="Partial"),VLOOKUP(A269,AutoEvidence!$A$2:$G$400,3,FALSE())&amp;" ("&amp;VLOOKUP(A269,AutoEvidence!$A$2:$G$400,2,FALSE())&amp;")",VLOOKUP(A269,AutoEvidence!$A$2:$G$400,2,FALSE())),""))</f>
        <v/>
      </c>
      <c r="T269" s="7" t="str">
        <f aca="false">IF(A269="","",IFERROR(VLOOKUP(A269,AutoEvidence!$A$2:$G$400,4,FALSE())&amp;"",""))</f>
        <v/>
      </c>
      <c r="AB269" s="13" t="str">
        <f aca="false">IF(M269="Gap",1,IF(M269="OK",0,""))</f>
        <v/>
      </c>
      <c r="AC269" s="16" t="str">
        <f aca="false">IF(P269&lt;&gt;"",VALUE(RIGHT(P269,1))*1000+ROW(),"")</f>
        <v/>
      </c>
      <c r="AD269" s="16" t="str">
        <f aca="false">IF(ISNUMBER(L269),MIN(L269,K269),"")</f>
        <v/>
      </c>
      <c r="AE269" s="16" t="str">
        <f aca="false">IF(AND(ISNUMBER(SEARCH(" PA "," "&amp;SUBSTITUTE($I269,","," ")&amp;" ")),ISNUMBER($L269)),$L269,"")</f>
        <v/>
      </c>
      <c r="AF269" s="16" t="str">
        <f aca="false">IF(AND(ISNUMBER(SEARCH(" PO "," "&amp;SUBSTITUTE($I269,","," ")&amp;" ")),ISNUMBER($L269)),$L269,"")</f>
        <v/>
      </c>
      <c r="AG269" s="16" t="str">
        <f aca="false">IF(AND(ISNUMBER(SEARCH(" MFA "," "&amp;SUBSTITUTE($I269,","," ")&amp;" ")),ISNUMBER($L269)),$L269,"")</f>
        <v/>
      </c>
      <c r="AH269" s="16" t="str">
        <f aca="false">IF(AND(ISNUMBER(SEARCH(" RAP "," "&amp;SUBSTITUTE($I269,","," ")&amp;" ")),ISNUMBER($L269)),$L269,"")</f>
        <v/>
      </c>
      <c r="AI269" s="16" t="str">
        <f aca="false">IF(AND(ISNUMBER(SEARCH(" AC "," "&amp;SUBSTITUTE($I269,","," ")&amp;" ")),ISNUMBER($L269)),$L269,"")</f>
        <v/>
      </c>
      <c r="AJ269" s="16" t="str">
        <f aca="false">IF(AND(ISNUMBER(SEARCH(" MAC "," "&amp;SUBSTITUTE($I269,","," ")&amp;" ")),ISNUMBER($L269)),$L269,"")</f>
        <v/>
      </c>
      <c r="AK269" s="16" t="str">
        <f aca="false">IF(AND(ISNUMBER(SEARCH(" UAH "," "&amp;SUBSTITUTE($I269,","," ")&amp;" ")),ISNUMBER($L269)),$L269,"")</f>
        <v/>
      </c>
      <c r="AL269" s="16" t="str">
        <f aca="false">IF(AND(ISNUMBER(SEARCH(" RB "," "&amp;SUBSTITUTE($I269,","," ")&amp;" ")),ISNUMBER($L269)),$L269,"")</f>
        <v/>
      </c>
    </row>
    <row r="270" customFormat="false" ht="15" hidden="false" customHeight="false" outlineLevel="0" collapsed="false">
      <c r="M270" s="13" t="str">
        <f aca="false">IF(ISNUMBER(L270),IF(L270&lt;K270,"Gap","OK"),IF(L270="N/A","N/A",""))</f>
        <v/>
      </c>
      <c r="P270" s="13" t="str">
        <f aca="false">IF(AND(M270="Gap",N270&lt;&gt;"",O270&lt;&gt;""),VLOOKUP(N270&amp;O270,Lists!$H$4:$I$12,2,FALSE()),"")</f>
        <v/>
      </c>
      <c r="Q270" s="13" t="str">
        <f aca="false">IF(AND(M270="Gap",O270="S",OR(N270="H",N270="M")),"Yes","")</f>
        <v/>
      </c>
      <c r="S270" s="14" t="str">
        <f aca="false">IF(A270="","",IFERROR(IF(OR(VLOOKUP(A270,AutoEvidence!$A$2:$G$400,2,FALSE())="Collected",VLOOKUP(A270,AutoEvidence!$A$2:$G$400,2,FALSE())="Partial"),VLOOKUP(A270,AutoEvidence!$A$2:$G$400,3,FALSE())&amp;" ("&amp;VLOOKUP(A270,AutoEvidence!$A$2:$G$400,2,FALSE())&amp;")",VLOOKUP(A270,AutoEvidence!$A$2:$G$400,2,FALSE())),""))</f>
        <v/>
      </c>
      <c r="T270" s="7" t="str">
        <f aca="false">IF(A270="","",IFERROR(VLOOKUP(A270,AutoEvidence!$A$2:$G$400,4,FALSE())&amp;"",""))</f>
        <v/>
      </c>
      <c r="AB270" s="13" t="str">
        <f aca="false">IF(M270="Gap",1,IF(M270="OK",0,""))</f>
        <v/>
      </c>
      <c r="AC270" s="16" t="str">
        <f aca="false">IF(P270&lt;&gt;"",VALUE(RIGHT(P270,1))*1000+ROW(),"")</f>
        <v/>
      </c>
      <c r="AD270" s="16" t="str">
        <f aca="false">IF(ISNUMBER(L270),MIN(L270,K270),"")</f>
        <v/>
      </c>
      <c r="AE270" s="16" t="str">
        <f aca="false">IF(AND(ISNUMBER(SEARCH(" PA "," "&amp;SUBSTITUTE($I270,","," ")&amp;" ")),ISNUMBER($L270)),$L270,"")</f>
        <v/>
      </c>
      <c r="AF270" s="16" t="str">
        <f aca="false">IF(AND(ISNUMBER(SEARCH(" PO "," "&amp;SUBSTITUTE($I270,","," ")&amp;" ")),ISNUMBER($L270)),$L270,"")</f>
        <v/>
      </c>
      <c r="AG270" s="16" t="str">
        <f aca="false">IF(AND(ISNUMBER(SEARCH(" MFA "," "&amp;SUBSTITUTE($I270,","," ")&amp;" ")),ISNUMBER($L270)),$L270,"")</f>
        <v/>
      </c>
      <c r="AH270" s="16" t="str">
        <f aca="false">IF(AND(ISNUMBER(SEARCH(" RAP "," "&amp;SUBSTITUTE($I270,","," ")&amp;" ")),ISNUMBER($L270)),$L270,"")</f>
        <v/>
      </c>
      <c r="AI270" s="16" t="str">
        <f aca="false">IF(AND(ISNUMBER(SEARCH(" AC "," "&amp;SUBSTITUTE($I270,","," ")&amp;" ")),ISNUMBER($L270)),$L270,"")</f>
        <v/>
      </c>
      <c r="AJ270" s="16" t="str">
        <f aca="false">IF(AND(ISNUMBER(SEARCH(" MAC "," "&amp;SUBSTITUTE($I270,","," ")&amp;" ")),ISNUMBER($L270)),$L270,"")</f>
        <v/>
      </c>
      <c r="AK270" s="16" t="str">
        <f aca="false">IF(AND(ISNUMBER(SEARCH(" UAH "," "&amp;SUBSTITUTE($I270,","," ")&amp;" ")),ISNUMBER($L270)),$L270,"")</f>
        <v/>
      </c>
      <c r="AL270" s="16" t="str">
        <f aca="false">IF(AND(ISNUMBER(SEARCH(" RB "," "&amp;SUBSTITUTE($I270,","," ")&amp;" ")),ISNUMBER($L270)),$L270,"")</f>
        <v/>
      </c>
    </row>
    <row r="271" customFormat="false" ht="15" hidden="false" customHeight="false" outlineLevel="0" collapsed="false">
      <c r="M271" s="13" t="str">
        <f aca="false">IF(ISNUMBER(L271),IF(L271&lt;K271,"Gap","OK"),IF(L271="N/A","N/A",""))</f>
        <v/>
      </c>
      <c r="P271" s="13" t="str">
        <f aca="false">IF(AND(M271="Gap",N271&lt;&gt;"",O271&lt;&gt;""),VLOOKUP(N271&amp;O271,Lists!$H$4:$I$12,2,FALSE()),"")</f>
        <v/>
      </c>
      <c r="Q271" s="13" t="str">
        <f aca="false">IF(AND(M271="Gap",O271="S",OR(N271="H",N271="M")),"Yes","")</f>
        <v/>
      </c>
      <c r="S271" s="14" t="str">
        <f aca="false">IF(A271="","",IFERROR(IF(OR(VLOOKUP(A271,AutoEvidence!$A$2:$G$400,2,FALSE())="Collected",VLOOKUP(A271,AutoEvidence!$A$2:$G$400,2,FALSE())="Partial"),VLOOKUP(A271,AutoEvidence!$A$2:$G$400,3,FALSE())&amp;" ("&amp;VLOOKUP(A271,AutoEvidence!$A$2:$G$400,2,FALSE())&amp;")",VLOOKUP(A271,AutoEvidence!$A$2:$G$400,2,FALSE())),""))</f>
        <v/>
      </c>
      <c r="T271" s="7" t="str">
        <f aca="false">IF(A271="","",IFERROR(VLOOKUP(A271,AutoEvidence!$A$2:$G$400,4,FALSE())&amp;"",""))</f>
        <v/>
      </c>
      <c r="AB271" s="13" t="str">
        <f aca="false">IF(M271="Gap",1,IF(M271="OK",0,""))</f>
        <v/>
      </c>
      <c r="AC271" s="16" t="str">
        <f aca="false">IF(P271&lt;&gt;"",VALUE(RIGHT(P271,1))*1000+ROW(),"")</f>
        <v/>
      </c>
      <c r="AD271" s="16" t="str">
        <f aca="false">IF(ISNUMBER(L271),MIN(L271,K271),"")</f>
        <v/>
      </c>
      <c r="AE271" s="16" t="str">
        <f aca="false">IF(AND(ISNUMBER(SEARCH(" PA "," "&amp;SUBSTITUTE($I271,","," ")&amp;" ")),ISNUMBER($L271)),$L271,"")</f>
        <v/>
      </c>
      <c r="AF271" s="16" t="str">
        <f aca="false">IF(AND(ISNUMBER(SEARCH(" PO "," "&amp;SUBSTITUTE($I271,","," ")&amp;" ")),ISNUMBER($L271)),$L271,"")</f>
        <v/>
      </c>
      <c r="AG271" s="16" t="str">
        <f aca="false">IF(AND(ISNUMBER(SEARCH(" MFA "," "&amp;SUBSTITUTE($I271,","," ")&amp;" ")),ISNUMBER($L271)),$L271,"")</f>
        <v/>
      </c>
      <c r="AH271" s="16" t="str">
        <f aca="false">IF(AND(ISNUMBER(SEARCH(" RAP "," "&amp;SUBSTITUTE($I271,","," ")&amp;" ")),ISNUMBER($L271)),$L271,"")</f>
        <v/>
      </c>
      <c r="AI271" s="16" t="str">
        <f aca="false">IF(AND(ISNUMBER(SEARCH(" AC "," "&amp;SUBSTITUTE($I271,","," ")&amp;" ")),ISNUMBER($L271)),$L271,"")</f>
        <v/>
      </c>
      <c r="AJ271" s="16" t="str">
        <f aca="false">IF(AND(ISNUMBER(SEARCH(" MAC "," "&amp;SUBSTITUTE($I271,","," ")&amp;" ")),ISNUMBER($L271)),$L271,"")</f>
        <v/>
      </c>
      <c r="AK271" s="16" t="str">
        <f aca="false">IF(AND(ISNUMBER(SEARCH(" UAH "," "&amp;SUBSTITUTE($I271,","," ")&amp;" ")),ISNUMBER($L271)),$L271,"")</f>
        <v/>
      </c>
      <c r="AL271" s="16" t="str">
        <f aca="false">IF(AND(ISNUMBER(SEARCH(" RB "," "&amp;SUBSTITUTE($I271,","," ")&amp;" ")),ISNUMBER($L271)),$L271,"")</f>
        <v/>
      </c>
    </row>
    <row r="272" customFormat="false" ht="15" hidden="false" customHeight="false" outlineLevel="0" collapsed="false">
      <c r="M272" s="13" t="str">
        <f aca="false">IF(ISNUMBER(L272),IF(L272&lt;K272,"Gap","OK"),IF(L272="N/A","N/A",""))</f>
        <v/>
      </c>
      <c r="P272" s="13" t="str">
        <f aca="false">IF(AND(M272="Gap",N272&lt;&gt;"",O272&lt;&gt;""),VLOOKUP(N272&amp;O272,Lists!$H$4:$I$12,2,FALSE()),"")</f>
        <v/>
      </c>
      <c r="Q272" s="13" t="str">
        <f aca="false">IF(AND(M272="Gap",O272="S",OR(N272="H",N272="M")),"Yes","")</f>
        <v/>
      </c>
      <c r="S272" s="14" t="str">
        <f aca="false">IF(A272="","",IFERROR(IF(OR(VLOOKUP(A272,AutoEvidence!$A$2:$G$400,2,FALSE())="Collected",VLOOKUP(A272,AutoEvidence!$A$2:$G$400,2,FALSE())="Partial"),VLOOKUP(A272,AutoEvidence!$A$2:$G$400,3,FALSE())&amp;" ("&amp;VLOOKUP(A272,AutoEvidence!$A$2:$G$400,2,FALSE())&amp;")",VLOOKUP(A272,AutoEvidence!$A$2:$G$400,2,FALSE())),""))</f>
        <v/>
      </c>
      <c r="T272" s="7" t="str">
        <f aca="false">IF(A272="","",IFERROR(VLOOKUP(A272,AutoEvidence!$A$2:$G$400,4,FALSE())&amp;"",""))</f>
        <v/>
      </c>
      <c r="AB272" s="13" t="str">
        <f aca="false">IF(M272="Gap",1,IF(M272="OK",0,""))</f>
        <v/>
      </c>
      <c r="AC272" s="16" t="str">
        <f aca="false">IF(P272&lt;&gt;"",VALUE(RIGHT(P272,1))*1000+ROW(),"")</f>
        <v/>
      </c>
      <c r="AD272" s="16" t="str">
        <f aca="false">IF(ISNUMBER(L272),MIN(L272,K272),"")</f>
        <v/>
      </c>
      <c r="AE272" s="16" t="str">
        <f aca="false">IF(AND(ISNUMBER(SEARCH(" PA "," "&amp;SUBSTITUTE($I272,","," ")&amp;" ")),ISNUMBER($L272)),$L272,"")</f>
        <v/>
      </c>
      <c r="AF272" s="16" t="str">
        <f aca="false">IF(AND(ISNUMBER(SEARCH(" PO "," "&amp;SUBSTITUTE($I272,","," ")&amp;" ")),ISNUMBER($L272)),$L272,"")</f>
        <v/>
      </c>
      <c r="AG272" s="16" t="str">
        <f aca="false">IF(AND(ISNUMBER(SEARCH(" MFA "," "&amp;SUBSTITUTE($I272,","," ")&amp;" ")),ISNUMBER($L272)),$L272,"")</f>
        <v/>
      </c>
      <c r="AH272" s="16" t="str">
        <f aca="false">IF(AND(ISNUMBER(SEARCH(" RAP "," "&amp;SUBSTITUTE($I272,","," ")&amp;" ")),ISNUMBER($L272)),$L272,"")</f>
        <v/>
      </c>
      <c r="AI272" s="16" t="str">
        <f aca="false">IF(AND(ISNUMBER(SEARCH(" AC "," "&amp;SUBSTITUTE($I272,","," ")&amp;" ")),ISNUMBER($L272)),$L272,"")</f>
        <v/>
      </c>
      <c r="AJ272" s="16" t="str">
        <f aca="false">IF(AND(ISNUMBER(SEARCH(" MAC "," "&amp;SUBSTITUTE($I272,","," ")&amp;" ")),ISNUMBER($L272)),$L272,"")</f>
        <v/>
      </c>
      <c r="AK272" s="16" t="str">
        <f aca="false">IF(AND(ISNUMBER(SEARCH(" UAH "," "&amp;SUBSTITUTE($I272,","," ")&amp;" ")),ISNUMBER($L272)),$L272,"")</f>
        <v/>
      </c>
      <c r="AL272" s="16" t="str">
        <f aca="false">IF(AND(ISNUMBER(SEARCH(" RB "," "&amp;SUBSTITUTE($I272,","," ")&amp;" ")),ISNUMBER($L272)),$L272,"")</f>
        <v/>
      </c>
    </row>
    <row r="273" customFormat="false" ht="15" hidden="false" customHeight="false" outlineLevel="0" collapsed="false">
      <c r="M273" s="13" t="str">
        <f aca="false">IF(ISNUMBER(L273),IF(L273&lt;K273,"Gap","OK"),IF(L273="N/A","N/A",""))</f>
        <v/>
      </c>
      <c r="P273" s="13" t="str">
        <f aca="false">IF(AND(M273="Gap",N273&lt;&gt;"",O273&lt;&gt;""),VLOOKUP(N273&amp;O273,Lists!$H$4:$I$12,2,FALSE()),"")</f>
        <v/>
      </c>
      <c r="Q273" s="13" t="str">
        <f aca="false">IF(AND(M273="Gap",O273="S",OR(N273="H",N273="M")),"Yes","")</f>
        <v/>
      </c>
      <c r="S273" s="14" t="str">
        <f aca="false">IF(A273="","",IFERROR(IF(OR(VLOOKUP(A273,AutoEvidence!$A$2:$G$400,2,FALSE())="Collected",VLOOKUP(A273,AutoEvidence!$A$2:$G$400,2,FALSE())="Partial"),VLOOKUP(A273,AutoEvidence!$A$2:$G$400,3,FALSE())&amp;" ("&amp;VLOOKUP(A273,AutoEvidence!$A$2:$G$400,2,FALSE())&amp;")",VLOOKUP(A273,AutoEvidence!$A$2:$G$400,2,FALSE())),""))</f>
        <v/>
      </c>
      <c r="T273" s="7" t="str">
        <f aca="false">IF(A273="","",IFERROR(VLOOKUP(A273,AutoEvidence!$A$2:$G$400,4,FALSE())&amp;"",""))</f>
        <v/>
      </c>
      <c r="AB273" s="13" t="str">
        <f aca="false">IF(M273="Gap",1,IF(M273="OK",0,""))</f>
        <v/>
      </c>
      <c r="AC273" s="16" t="str">
        <f aca="false">IF(P273&lt;&gt;"",VALUE(RIGHT(P273,1))*1000+ROW(),"")</f>
        <v/>
      </c>
      <c r="AD273" s="16" t="str">
        <f aca="false">IF(ISNUMBER(L273),MIN(L273,K273),"")</f>
        <v/>
      </c>
      <c r="AE273" s="16" t="str">
        <f aca="false">IF(AND(ISNUMBER(SEARCH(" PA "," "&amp;SUBSTITUTE($I273,","," ")&amp;" ")),ISNUMBER($L273)),$L273,"")</f>
        <v/>
      </c>
      <c r="AF273" s="16" t="str">
        <f aca="false">IF(AND(ISNUMBER(SEARCH(" PO "," "&amp;SUBSTITUTE($I273,","," ")&amp;" ")),ISNUMBER($L273)),$L273,"")</f>
        <v/>
      </c>
      <c r="AG273" s="16" t="str">
        <f aca="false">IF(AND(ISNUMBER(SEARCH(" MFA "," "&amp;SUBSTITUTE($I273,","," ")&amp;" ")),ISNUMBER($L273)),$L273,"")</f>
        <v/>
      </c>
      <c r="AH273" s="16" t="str">
        <f aca="false">IF(AND(ISNUMBER(SEARCH(" RAP "," "&amp;SUBSTITUTE($I273,","," ")&amp;" ")),ISNUMBER($L273)),$L273,"")</f>
        <v/>
      </c>
      <c r="AI273" s="16" t="str">
        <f aca="false">IF(AND(ISNUMBER(SEARCH(" AC "," "&amp;SUBSTITUTE($I273,","," ")&amp;" ")),ISNUMBER($L273)),$L273,"")</f>
        <v/>
      </c>
      <c r="AJ273" s="16" t="str">
        <f aca="false">IF(AND(ISNUMBER(SEARCH(" MAC "," "&amp;SUBSTITUTE($I273,","," ")&amp;" ")),ISNUMBER($L273)),$L273,"")</f>
        <v/>
      </c>
      <c r="AK273" s="16" t="str">
        <f aca="false">IF(AND(ISNUMBER(SEARCH(" UAH "," "&amp;SUBSTITUTE($I273,","," ")&amp;" ")),ISNUMBER($L273)),$L273,"")</f>
        <v/>
      </c>
      <c r="AL273" s="16" t="str">
        <f aca="false">IF(AND(ISNUMBER(SEARCH(" RB "," "&amp;SUBSTITUTE($I273,","," ")&amp;" ")),ISNUMBER($L273)),$L273,"")</f>
        <v/>
      </c>
    </row>
    <row r="274" customFormat="false" ht="15" hidden="false" customHeight="false" outlineLevel="0" collapsed="false">
      <c r="M274" s="13" t="str">
        <f aca="false">IF(ISNUMBER(L274),IF(L274&lt;K274,"Gap","OK"),IF(L274="N/A","N/A",""))</f>
        <v/>
      </c>
      <c r="P274" s="13" t="str">
        <f aca="false">IF(AND(M274="Gap",N274&lt;&gt;"",O274&lt;&gt;""),VLOOKUP(N274&amp;O274,Lists!$H$4:$I$12,2,FALSE()),"")</f>
        <v/>
      </c>
      <c r="Q274" s="13" t="str">
        <f aca="false">IF(AND(M274="Gap",O274="S",OR(N274="H",N274="M")),"Yes","")</f>
        <v/>
      </c>
      <c r="S274" s="14" t="str">
        <f aca="false">IF(A274="","",IFERROR(IF(OR(VLOOKUP(A274,AutoEvidence!$A$2:$G$400,2,FALSE())="Collected",VLOOKUP(A274,AutoEvidence!$A$2:$G$400,2,FALSE())="Partial"),VLOOKUP(A274,AutoEvidence!$A$2:$G$400,3,FALSE())&amp;" ("&amp;VLOOKUP(A274,AutoEvidence!$A$2:$G$400,2,FALSE())&amp;")",VLOOKUP(A274,AutoEvidence!$A$2:$G$400,2,FALSE())),""))</f>
        <v/>
      </c>
      <c r="T274" s="7" t="str">
        <f aca="false">IF(A274="","",IFERROR(VLOOKUP(A274,AutoEvidence!$A$2:$G$400,4,FALSE())&amp;"",""))</f>
        <v/>
      </c>
      <c r="AB274" s="13" t="str">
        <f aca="false">IF(M274="Gap",1,IF(M274="OK",0,""))</f>
        <v/>
      </c>
      <c r="AC274" s="16" t="str">
        <f aca="false">IF(P274&lt;&gt;"",VALUE(RIGHT(P274,1))*1000+ROW(),"")</f>
        <v/>
      </c>
      <c r="AD274" s="16" t="str">
        <f aca="false">IF(ISNUMBER(L274),MIN(L274,K274),"")</f>
        <v/>
      </c>
      <c r="AE274" s="16" t="str">
        <f aca="false">IF(AND(ISNUMBER(SEARCH(" PA "," "&amp;SUBSTITUTE($I274,","," ")&amp;" ")),ISNUMBER($L274)),$L274,"")</f>
        <v/>
      </c>
      <c r="AF274" s="16" t="str">
        <f aca="false">IF(AND(ISNUMBER(SEARCH(" PO "," "&amp;SUBSTITUTE($I274,","," ")&amp;" ")),ISNUMBER($L274)),$L274,"")</f>
        <v/>
      </c>
      <c r="AG274" s="16" t="str">
        <f aca="false">IF(AND(ISNUMBER(SEARCH(" MFA "," "&amp;SUBSTITUTE($I274,","," ")&amp;" ")),ISNUMBER($L274)),$L274,"")</f>
        <v/>
      </c>
      <c r="AH274" s="16" t="str">
        <f aca="false">IF(AND(ISNUMBER(SEARCH(" RAP "," "&amp;SUBSTITUTE($I274,","," ")&amp;" ")),ISNUMBER($L274)),$L274,"")</f>
        <v/>
      </c>
      <c r="AI274" s="16" t="str">
        <f aca="false">IF(AND(ISNUMBER(SEARCH(" AC "," "&amp;SUBSTITUTE($I274,","," ")&amp;" ")),ISNUMBER($L274)),$L274,"")</f>
        <v/>
      </c>
      <c r="AJ274" s="16" t="str">
        <f aca="false">IF(AND(ISNUMBER(SEARCH(" MAC "," "&amp;SUBSTITUTE($I274,","," ")&amp;" ")),ISNUMBER($L274)),$L274,"")</f>
        <v/>
      </c>
      <c r="AK274" s="16" t="str">
        <f aca="false">IF(AND(ISNUMBER(SEARCH(" UAH "," "&amp;SUBSTITUTE($I274,","," ")&amp;" ")),ISNUMBER($L274)),$L274,"")</f>
        <v/>
      </c>
      <c r="AL274" s="16" t="str">
        <f aca="false">IF(AND(ISNUMBER(SEARCH(" RB "," "&amp;SUBSTITUTE($I274,","," ")&amp;" ")),ISNUMBER($L274)),$L274,"")</f>
        <v/>
      </c>
    </row>
    <row r="275" customFormat="false" ht="15" hidden="false" customHeight="false" outlineLevel="0" collapsed="false">
      <c r="M275" s="13" t="str">
        <f aca="false">IF(ISNUMBER(L275),IF(L275&lt;K275,"Gap","OK"),IF(L275="N/A","N/A",""))</f>
        <v/>
      </c>
      <c r="P275" s="13" t="str">
        <f aca="false">IF(AND(M275="Gap",N275&lt;&gt;"",O275&lt;&gt;""),VLOOKUP(N275&amp;O275,Lists!$H$4:$I$12,2,FALSE()),"")</f>
        <v/>
      </c>
      <c r="Q275" s="13" t="str">
        <f aca="false">IF(AND(M275="Gap",O275="S",OR(N275="H",N275="M")),"Yes","")</f>
        <v/>
      </c>
      <c r="S275" s="14" t="str">
        <f aca="false">IF(A275="","",IFERROR(IF(OR(VLOOKUP(A275,AutoEvidence!$A$2:$G$400,2,FALSE())="Collected",VLOOKUP(A275,AutoEvidence!$A$2:$G$400,2,FALSE())="Partial"),VLOOKUP(A275,AutoEvidence!$A$2:$G$400,3,FALSE())&amp;" ("&amp;VLOOKUP(A275,AutoEvidence!$A$2:$G$400,2,FALSE())&amp;")",VLOOKUP(A275,AutoEvidence!$A$2:$G$400,2,FALSE())),""))</f>
        <v/>
      </c>
      <c r="T275" s="7" t="str">
        <f aca="false">IF(A275="","",IFERROR(VLOOKUP(A275,AutoEvidence!$A$2:$G$400,4,FALSE())&amp;"",""))</f>
        <v/>
      </c>
      <c r="AB275" s="13" t="str">
        <f aca="false">IF(M275="Gap",1,IF(M275="OK",0,""))</f>
        <v/>
      </c>
      <c r="AC275" s="16" t="str">
        <f aca="false">IF(P275&lt;&gt;"",VALUE(RIGHT(P275,1))*1000+ROW(),"")</f>
        <v/>
      </c>
      <c r="AD275" s="16" t="str">
        <f aca="false">IF(ISNUMBER(L275),MIN(L275,K275),"")</f>
        <v/>
      </c>
      <c r="AE275" s="16" t="str">
        <f aca="false">IF(AND(ISNUMBER(SEARCH(" PA "," "&amp;SUBSTITUTE($I275,","," ")&amp;" ")),ISNUMBER($L275)),$L275,"")</f>
        <v/>
      </c>
      <c r="AF275" s="16" t="str">
        <f aca="false">IF(AND(ISNUMBER(SEARCH(" PO "," "&amp;SUBSTITUTE($I275,","," ")&amp;" ")),ISNUMBER($L275)),$L275,"")</f>
        <v/>
      </c>
      <c r="AG275" s="16" t="str">
        <f aca="false">IF(AND(ISNUMBER(SEARCH(" MFA "," "&amp;SUBSTITUTE($I275,","," ")&amp;" ")),ISNUMBER($L275)),$L275,"")</f>
        <v/>
      </c>
      <c r="AH275" s="16" t="str">
        <f aca="false">IF(AND(ISNUMBER(SEARCH(" RAP "," "&amp;SUBSTITUTE($I275,","," ")&amp;" ")),ISNUMBER($L275)),$L275,"")</f>
        <v/>
      </c>
      <c r="AI275" s="16" t="str">
        <f aca="false">IF(AND(ISNUMBER(SEARCH(" AC "," "&amp;SUBSTITUTE($I275,","," ")&amp;" ")),ISNUMBER($L275)),$L275,"")</f>
        <v/>
      </c>
      <c r="AJ275" s="16" t="str">
        <f aca="false">IF(AND(ISNUMBER(SEARCH(" MAC "," "&amp;SUBSTITUTE($I275,","," ")&amp;" ")),ISNUMBER($L275)),$L275,"")</f>
        <v/>
      </c>
      <c r="AK275" s="16" t="str">
        <f aca="false">IF(AND(ISNUMBER(SEARCH(" UAH "," "&amp;SUBSTITUTE($I275,","," ")&amp;" ")),ISNUMBER($L275)),$L275,"")</f>
        <v/>
      </c>
      <c r="AL275" s="16" t="str">
        <f aca="false">IF(AND(ISNUMBER(SEARCH(" RB "," "&amp;SUBSTITUTE($I275,","," ")&amp;" ")),ISNUMBER($L275)),$L275,"")</f>
        <v/>
      </c>
    </row>
    <row r="276" customFormat="false" ht="15" hidden="false" customHeight="false" outlineLevel="0" collapsed="false">
      <c r="M276" s="13" t="str">
        <f aca="false">IF(ISNUMBER(L276),IF(L276&lt;K276,"Gap","OK"),IF(L276="N/A","N/A",""))</f>
        <v/>
      </c>
      <c r="P276" s="13" t="str">
        <f aca="false">IF(AND(M276="Gap",N276&lt;&gt;"",O276&lt;&gt;""),VLOOKUP(N276&amp;O276,Lists!$H$4:$I$12,2,FALSE()),"")</f>
        <v/>
      </c>
      <c r="Q276" s="13" t="str">
        <f aca="false">IF(AND(M276="Gap",O276="S",OR(N276="H",N276="M")),"Yes","")</f>
        <v/>
      </c>
      <c r="S276" s="14" t="str">
        <f aca="false">IF(A276="","",IFERROR(IF(OR(VLOOKUP(A276,AutoEvidence!$A$2:$G$400,2,FALSE())="Collected",VLOOKUP(A276,AutoEvidence!$A$2:$G$400,2,FALSE())="Partial"),VLOOKUP(A276,AutoEvidence!$A$2:$G$400,3,FALSE())&amp;" ("&amp;VLOOKUP(A276,AutoEvidence!$A$2:$G$400,2,FALSE())&amp;")",VLOOKUP(A276,AutoEvidence!$A$2:$G$400,2,FALSE())),""))</f>
        <v/>
      </c>
      <c r="T276" s="7" t="str">
        <f aca="false">IF(A276="","",IFERROR(VLOOKUP(A276,AutoEvidence!$A$2:$G$400,4,FALSE())&amp;"",""))</f>
        <v/>
      </c>
      <c r="AB276" s="13" t="str">
        <f aca="false">IF(M276="Gap",1,IF(M276="OK",0,""))</f>
        <v/>
      </c>
      <c r="AC276" s="16" t="str">
        <f aca="false">IF(P276&lt;&gt;"",VALUE(RIGHT(P276,1))*1000+ROW(),"")</f>
        <v/>
      </c>
      <c r="AD276" s="16" t="str">
        <f aca="false">IF(ISNUMBER(L276),MIN(L276,K276),"")</f>
        <v/>
      </c>
      <c r="AE276" s="16" t="str">
        <f aca="false">IF(AND(ISNUMBER(SEARCH(" PA "," "&amp;SUBSTITUTE($I276,","," ")&amp;" ")),ISNUMBER($L276)),$L276,"")</f>
        <v/>
      </c>
      <c r="AF276" s="16" t="str">
        <f aca="false">IF(AND(ISNUMBER(SEARCH(" PO "," "&amp;SUBSTITUTE($I276,","," ")&amp;" ")),ISNUMBER($L276)),$L276,"")</f>
        <v/>
      </c>
      <c r="AG276" s="16" t="str">
        <f aca="false">IF(AND(ISNUMBER(SEARCH(" MFA "," "&amp;SUBSTITUTE($I276,","," ")&amp;" ")),ISNUMBER($L276)),$L276,"")</f>
        <v/>
      </c>
      <c r="AH276" s="16" t="str">
        <f aca="false">IF(AND(ISNUMBER(SEARCH(" RAP "," "&amp;SUBSTITUTE($I276,","," ")&amp;" ")),ISNUMBER($L276)),$L276,"")</f>
        <v/>
      </c>
      <c r="AI276" s="16" t="str">
        <f aca="false">IF(AND(ISNUMBER(SEARCH(" AC "," "&amp;SUBSTITUTE($I276,","," ")&amp;" ")),ISNUMBER($L276)),$L276,"")</f>
        <v/>
      </c>
      <c r="AJ276" s="16" t="str">
        <f aca="false">IF(AND(ISNUMBER(SEARCH(" MAC "," "&amp;SUBSTITUTE($I276,","," ")&amp;" ")),ISNUMBER($L276)),$L276,"")</f>
        <v/>
      </c>
      <c r="AK276" s="16" t="str">
        <f aca="false">IF(AND(ISNUMBER(SEARCH(" UAH "," "&amp;SUBSTITUTE($I276,","," ")&amp;" ")),ISNUMBER($L276)),$L276,"")</f>
        <v/>
      </c>
      <c r="AL276" s="16" t="str">
        <f aca="false">IF(AND(ISNUMBER(SEARCH(" RB "," "&amp;SUBSTITUTE($I276,","," ")&amp;" ")),ISNUMBER($L276)),$L276,"")</f>
        <v/>
      </c>
    </row>
    <row r="277" customFormat="false" ht="15" hidden="false" customHeight="false" outlineLevel="0" collapsed="false">
      <c r="M277" s="13" t="str">
        <f aca="false">IF(ISNUMBER(L277),IF(L277&lt;K277,"Gap","OK"),IF(L277="N/A","N/A",""))</f>
        <v/>
      </c>
      <c r="P277" s="13" t="str">
        <f aca="false">IF(AND(M277="Gap",N277&lt;&gt;"",O277&lt;&gt;""),VLOOKUP(N277&amp;O277,Lists!$H$4:$I$12,2,FALSE()),"")</f>
        <v/>
      </c>
      <c r="Q277" s="13" t="str">
        <f aca="false">IF(AND(M277="Gap",O277="S",OR(N277="H",N277="M")),"Yes","")</f>
        <v/>
      </c>
      <c r="S277" s="14" t="str">
        <f aca="false">IF(A277="","",IFERROR(IF(OR(VLOOKUP(A277,AutoEvidence!$A$2:$G$400,2,FALSE())="Collected",VLOOKUP(A277,AutoEvidence!$A$2:$G$400,2,FALSE())="Partial"),VLOOKUP(A277,AutoEvidence!$A$2:$G$400,3,FALSE())&amp;" ("&amp;VLOOKUP(A277,AutoEvidence!$A$2:$G$400,2,FALSE())&amp;")",VLOOKUP(A277,AutoEvidence!$A$2:$G$400,2,FALSE())),""))</f>
        <v/>
      </c>
      <c r="T277" s="7" t="str">
        <f aca="false">IF(A277="","",IFERROR(VLOOKUP(A277,AutoEvidence!$A$2:$G$400,4,FALSE())&amp;"",""))</f>
        <v/>
      </c>
      <c r="AB277" s="13" t="str">
        <f aca="false">IF(M277="Gap",1,IF(M277="OK",0,""))</f>
        <v/>
      </c>
      <c r="AC277" s="16" t="str">
        <f aca="false">IF(P277&lt;&gt;"",VALUE(RIGHT(P277,1))*1000+ROW(),"")</f>
        <v/>
      </c>
      <c r="AD277" s="16" t="str">
        <f aca="false">IF(ISNUMBER(L277),MIN(L277,K277),"")</f>
        <v/>
      </c>
      <c r="AE277" s="16" t="str">
        <f aca="false">IF(AND(ISNUMBER(SEARCH(" PA "," "&amp;SUBSTITUTE($I277,","," ")&amp;" ")),ISNUMBER($L277)),$L277,"")</f>
        <v/>
      </c>
      <c r="AF277" s="16" t="str">
        <f aca="false">IF(AND(ISNUMBER(SEARCH(" PO "," "&amp;SUBSTITUTE($I277,","," ")&amp;" ")),ISNUMBER($L277)),$L277,"")</f>
        <v/>
      </c>
      <c r="AG277" s="16" t="str">
        <f aca="false">IF(AND(ISNUMBER(SEARCH(" MFA "," "&amp;SUBSTITUTE($I277,","," ")&amp;" ")),ISNUMBER($L277)),$L277,"")</f>
        <v/>
      </c>
      <c r="AH277" s="16" t="str">
        <f aca="false">IF(AND(ISNUMBER(SEARCH(" RAP "," "&amp;SUBSTITUTE($I277,","," ")&amp;" ")),ISNUMBER($L277)),$L277,"")</f>
        <v/>
      </c>
      <c r="AI277" s="16" t="str">
        <f aca="false">IF(AND(ISNUMBER(SEARCH(" AC "," "&amp;SUBSTITUTE($I277,","," ")&amp;" ")),ISNUMBER($L277)),$L277,"")</f>
        <v/>
      </c>
      <c r="AJ277" s="16" t="str">
        <f aca="false">IF(AND(ISNUMBER(SEARCH(" MAC "," "&amp;SUBSTITUTE($I277,","," ")&amp;" ")),ISNUMBER($L277)),$L277,"")</f>
        <v/>
      </c>
      <c r="AK277" s="16" t="str">
        <f aca="false">IF(AND(ISNUMBER(SEARCH(" UAH "," "&amp;SUBSTITUTE($I277,","," ")&amp;" ")),ISNUMBER($L277)),$L277,"")</f>
        <v/>
      </c>
      <c r="AL277" s="16" t="str">
        <f aca="false">IF(AND(ISNUMBER(SEARCH(" RB "," "&amp;SUBSTITUTE($I277,","," ")&amp;" ")),ISNUMBER($L277)),$L277,"")</f>
        <v/>
      </c>
    </row>
    <row r="278" customFormat="false" ht="15" hidden="false" customHeight="false" outlineLevel="0" collapsed="false">
      <c r="M278" s="13" t="str">
        <f aca="false">IF(ISNUMBER(L278),IF(L278&lt;K278,"Gap","OK"),IF(L278="N/A","N/A",""))</f>
        <v/>
      </c>
      <c r="P278" s="13" t="str">
        <f aca="false">IF(AND(M278="Gap",N278&lt;&gt;"",O278&lt;&gt;""),VLOOKUP(N278&amp;O278,Lists!$H$4:$I$12,2,FALSE()),"")</f>
        <v/>
      </c>
      <c r="Q278" s="13" t="str">
        <f aca="false">IF(AND(M278="Gap",O278="S",OR(N278="H",N278="M")),"Yes","")</f>
        <v/>
      </c>
      <c r="S278" s="14" t="str">
        <f aca="false">IF(A278="","",IFERROR(IF(OR(VLOOKUP(A278,AutoEvidence!$A$2:$G$400,2,FALSE())="Collected",VLOOKUP(A278,AutoEvidence!$A$2:$G$400,2,FALSE())="Partial"),VLOOKUP(A278,AutoEvidence!$A$2:$G$400,3,FALSE())&amp;" ("&amp;VLOOKUP(A278,AutoEvidence!$A$2:$G$400,2,FALSE())&amp;")",VLOOKUP(A278,AutoEvidence!$A$2:$G$400,2,FALSE())),""))</f>
        <v/>
      </c>
      <c r="T278" s="7" t="str">
        <f aca="false">IF(A278="","",IFERROR(VLOOKUP(A278,AutoEvidence!$A$2:$G$400,4,FALSE())&amp;"",""))</f>
        <v/>
      </c>
      <c r="AB278" s="13" t="str">
        <f aca="false">IF(M278="Gap",1,IF(M278="OK",0,""))</f>
        <v/>
      </c>
      <c r="AC278" s="16" t="str">
        <f aca="false">IF(P278&lt;&gt;"",VALUE(RIGHT(P278,1))*1000+ROW(),"")</f>
        <v/>
      </c>
      <c r="AD278" s="16" t="str">
        <f aca="false">IF(ISNUMBER(L278),MIN(L278,K278),"")</f>
        <v/>
      </c>
      <c r="AE278" s="16" t="str">
        <f aca="false">IF(AND(ISNUMBER(SEARCH(" PA "," "&amp;SUBSTITUTE($I278,","," ")&amp;" ")),ISNUMBER($L278)),$L278,"")</f>
        <v/>
      </c>
      <c r="AF278" s="16" t="str">
        <f aca="false">IF(AND(ISNUMBER(SEARCH(" PO "," "&amp;SUBSTITUTE($I278,","," ")&amp;" ")),ISNUMBER($L278)),$L278,"")</f>
        <v/>
      </c>
      <c r="AG278" s="16" t="str">
        <f aca="false">IF(AND(ISNUMBER(SEARCH(" MFA "," "&amp;SUBSTITUTE($I278,","," ")&amp;" ")),ISNUMBER($L278)),$L278,"")</f>
        <v/>
      </c>
      <c r="AH278" s="16" t="str">
        <f aca="false">IF(AND(ISNUMBER(SEARCH(" RAP "," "&amp;SUBSTITUTE($I278,","," ")&amp;" ")),ISNUMBER($L278)),$L278,"")</f>
        <v/>
      </c>
      <c r="AI278" s="16" t="str">
        <f aca="false">IF(AND(ISNUMBER(SEARCH(" AC "," "&amp;SUBSTITUTE($I278,","," ")&amp;" ")),ISNUMBER($L278)),$L278,"")</f>
        <v/>
      </c>
      <c r="AJ278" s="16" t="str">
        <f aca="false">IF(AND(ISNUMBER(SEARCH(" MAC "," "&amp;SUBSTITUTE($I278,","," ")&amp;" ")),ISNUMBER($L278)),$L278,"")</f>
        <v/>
      </c>
      <c r="AK278" s="16" t="str">
        <f aca="false">IF(AND(ISNUMBER(SEARCH(" UAH "," "&amp;SUBSTITUTE($I278,","," ")&amp;" ")),ISNUMBER($L278)),$L278,"")</f>
        <v/>
      </c>
      <c r="AL278" s="16" t="str">
        <f aca="false">IF(AND(ISNUMBER(SEARCH(" RB "," "&amp;SUBSTITUTE($I278,","," ")&amp;" ")),ISNUMBER($L278)),$L278,"")</f>
        <v/>
      </c>
    </row>
    <row r="279" customFormat="false" ht="15" hidden="false" customHeight="false" outlineLevel="0" collapsed="false">
      <c r="M279" s="13" t="str">
        <f aca="false">IF(ISNUMBER(L279),IF(L279&lt;K279,"Gap","OK"),IF(L279="N/A","N/A",""))</f>
        <v/>
      </c>
      <c r="P279" s="13" t="str">
        <f aca="false">IF(AND(M279="Gap",N279&lt;&gt;"",O279&lt;&gt;""),VLOOKUP(N279&amp;O279,Lists!$H$4:$I$12,2,FALSE()),"")</f>
        <v/>
      </c>
      <c r="Q279" s="13" t="str">
        <f aca="false">IF(AND(M279="Gap",O279="S",OR(N279="H",N279="M")),"Yes","")</f>
        <v/>
      </c>
      <c r="S279" s="14" t="str">
        <f aca="false">IF(A279="","",IFERROR(IF(OR(VLOOKUP(A279,AutoEvidence!$A$2:$G$400,2,FALSE())="Collected",VLOOKUP(A279,AutoEvidence!$A$2:$G$400,2,FALSE())="Partial"),VLOOKUP(A279,AutoEvidence!$A$2:$G$400,3,FALSE())&amp;" ("&amp;VLOOKUP(A279,AutoEvidence!$A$2:$G$400,2,FALSE())&amp;")",VLOOKUP(A279,AutoEvidence!$A$2:$G$400,2,FALSE())),""))</f>
        <v/>
      </c>
      <c r="T279" s="7" t="str">
        <f aca="false">IF(A279="","",IFERROR(VLOOKUP(A279,AutoEvidence!$A$2:$G$400,4,FALSE())&amp;"",""))</f>
        <v/>
      </c>
      <c r="AB279" s="13" t="str">
        <f aca="false">IF(M279="Gap",1,IF(M279="OK",0,""))</f>
        <v/>
      </c>
      <c r="AC279" s="16" t="str">
        <f aca="false">IF(P279&lt;&gt;"",VALUE(RIGHT(P279,1))*1000+ROW(),"")</f>
        <v/>
      </c>
      <c r="AD279" s="16" t="str">
        <f aca="false">IF(ISNUMBER(L279),MIN(L279,K279),"")</f>
        <v/>
      </c>
      <c r="AE279" s="16" t="str">
        <f aca="false">IF(AND(ISNUMBER(SEARCH(" PA "," "&amp;SUBSTITUTE($I279,","," ")&amp;" ")),ISNUMBER($L279)),$L279,"")</f>
        <v/>
      </c>
      <c r="AF279" s="16" t="str">
        <f aca="false">IF(AND(ISNUMBER(SEARCH(" PO "," "&amp;SUBSTITUTE($I279,","," ")&amp;" ")),ISNUMBER($L279)),$L279,"")</f>
        <v/>
      </c>
      <c r="AG279" s="16" t="str">
        <f aca="false">IF(AND(ISNUMBER(SEARCH(" MFA "," "&amp;SUBSTITUTE($I279,","," ")&amp;" ")),ISNUMBER($L279)),$L279,"")</f>
        <v/>
      </c>
      <c r="AH279" s="16" t="str">
        <f aca="false">IF(AND(ISNUMBER(SEARCH(" RAP "," "&amp;SUBSTITUTE($I279,","," ")&amp;" ")),ISNUMBER($L279)),$L279,"")</f>
        <v/>
      </c>
      <c r="AI279" s="16" t="str">
        <f aca="false">IF(AND(ISNUMBER(SEARCH(" AC "," "&amp;SUBSTITUTE($I279,","," ")&amp;" ")),ISNUMBER($L279)),$L279,"")</f>
        <v/>
      </c>
      <c r="AJ279" s="16" t="str">
        <f aca="false">IF(AND(ISNUMBER(SEARCH(" MAC "," "&amp;SUBSTITUTE($I279,","," ")&amp;" ")),ISNUMBER($L279)),$L279,"")</f>
        <v/>
      </c>
      <c r="AK279" s="16" t="str">
        <f aca="false">IF(AND(ISNUMBER(SEARCH(" UAH "," "&amp;SUBSTITUTE($I279,","," ")&amp;" ")),ISNUMBER($L279)),$L279,"")</f>
        <v/>
      </c>
      <c r="AL279" s="16" t="str">
        <f aca="false">IF(AND(ISNUMBER(SEARCH(" RB "," "&amp;SUBSTITUTE($I279,","," ")&amp;" ")),ISNUMBER($L279)),$L279,"")</f>
        <v/>
      </c>
    </row>
    <row r="280" customFormat="false" ht="15" hidden="false" customHeight="false" outlineLevel="0" collapsed="false">
      <c r="M280" s="13" t="str">
        <f aca="false">IF(ISNUMBER(L280),IF(L280&lt;K280,"Gap","OK"),IF(L280="N/A","N/A",""))</f>
        <v/>
      </c>
      <c r="P280" s="13" t="str">
        <f aca="false">IF(AND(M280="Gap",N280&lt;&gt;"",O280&lt;&gt;""),VLOOKUP(N280&amp;O280,Lists!$H$4:$I$12,2,FALSE()),"")</f>
        <v/>
      </c>
      <c r="Q280" s="13" t="str">
        <f aca="false">IF(AND(M280="Gap",O280="S",OR(N280="H",N280="M")),"Yes","")</f>
        <v/>
      </c>
      <c r="S280" s="14" t="str">
        <f aca="false">IF(A280="","",IFERROR(IF(OR(VLOOKUP(A280,AutoEvidence!$A$2:$G$400,2,FALSE())="Collected",VLOOKUP(A280,AutoEvidence!$A$2:$G$400,2,FALSE())="Partial"),VLOOKUP(A280,AutoEvidence!$A$2:$G$400,3,FALSE())&amp;" ("&amp;VLOOKUP(A280,AutoEvidence!$A$2:$G$400,2,FALSE())&amp;")",VLOOKUP(A280,AutoEvidence!$A$2:$G$400,2,FALSE())),""))</f>
        <v/>
      </c>
      <c r="T280" s="7" t="str">
        <f aca="false">IF(A280="","",IFERROR(VLOOKUP(A280,AutoEvidence!$A$2:$G$400,4,FALSE())&amp;"",""))</f>
        <v/>
      </c>
      <c r="AB280" s="13" t="str">
        <f aca="false">IF(M280="Gap",1,IF(M280="OK",0,""))</f>
        <v/>
      </c>
      <c r="AC280" s="16" t="str">
        <f aca="false">IF(P280&lt;&gt;"",VALUE(RIGHT(P280,1))*1000+ROW(),"")</f>
        <v/>
      </c>
      <c r="AD280" s="16" t="str">
        <f aca="false">IF(ISNUMBER(L280),MIN(L280,K280),"")</f>
        <v/>
      </c>
      <c r="AE280" s="16" t="str">
        <f aca="false">IF(AND(ISNUMBER(SEARCH(" PA "," "&amp;SUBSTITUTE($I280,","," ")&amp;" ")),ISNUMBER($L280)),$L280,"")</f>
        <v/>
      </c>
      <c r="AF280" s="16" t="str">
        <f aca="false">IF(AND(ISNUMBER(SEARCH(" PO "," "&amp;SUBSTITUTE($I280,","," ")&amp;" ")),ISNUMBER($L280)),$L280,"")</f>
        <v/>
      </c>
      <c r="AG280" s="16" t="str">
        <f aca="false">IF(AND(ISNUMBER(SEARCH(" MFA "," "&amp;SUBSTITUTE($I280,","," ")&amp;" ")),ISNUMBER($L280)),$L280,"")</f>
        <v/>
      </c>
      <c r="AH280" s="16" t="str">
        <f aca="false">IF(AND(ISNUMBER(SEARCH(" RAP "," "&amp;SUBSTITUTE($I280,","," ")&amp;" ")),ISNUMBER($L280)),$L280,"")</f>
        <v/>
      </c>
      <c r="AI280" s="16" t="str">
        <f aca="false">IF(AND(ISNUMBER(SEARCH(" AC "," "&amp;SUBSTITUTE($I280,","," ")&amp;" ")),ISNUMBER($L280)),$L280,"")</f>
        <v/>
      </c>
      <c r="AJ280" s="16" t="str">
        <f aca="false">IF(AND(ISNUMBER(SEARCH(" MAC "," "&amp;SUBSTITUTE($I280,","," ")&amp;" ")),ISNUMBER($L280)),$L280,"")</f>
        <v/>
      </c>
      <c r="AK280" s="16" t="str">
        <f aca="false">IF(AND(ISNUMBER(SEARCH(" UAH "," "&amp;SUBSTITUTE($I280,","," ")&amp;" ")),ISNUMBER($L280)),$L280,"")</f>
        <v/>
      </c>
      <c r="AL280" s="16" t="str">
        <f aca="false">IF(AND(ISNUMBER(SEARCH(" RB "," "&amp;SUBSTITUTE($I280,","," ")&amp;" ")),ISNUMBER($L280)),$L280,"")</f>
        <v/>
      </c>
    </row>
    <row r="281" customFormat="false" ht="15" hidden="false" customHeight="false" outlineLevel="0" collapsed="false">
      <c r="M281" s="13" t="str">
        <f aca="false">IF(ISNUMBER(L281),IF(L281&lt;K281,"Gap","OK"),IF(L281="N/A","N/A",""))</f>
        <v/>
      </c>
      <c r="P281" s="13" t="str">
        <f aca="false">IF(AND(M281="Gap",N281&lt;&gt;"",O281&lt;&gt;""),VLOOKUP(N281&amp;O281,Lists!$H$4:$I$12,2,FALSE()),"")</f>
        <v/>
      </c>
      <c r="Q281" s="13" t="str">
        <f aca="false">IF(AND(M281="Gap",O281="S",OR(N281="H",N281="M")),"Yes","")</f>
        <v/>
      </c>
      <c r="S281" s="14" t="str">
        <f aca="false">IF(A281="","",IFERROR(IF(OR(VLOOKUP(A281,AutoEvidence!$A$2:$G$400,2,FALSE())="Collected",VLOOKUP(A281,AutoEvidence!$A$2:$G$400,2,FALSE())="Partial"),VLOOKUP(A281,AutoEvidence!$A$2:$G$400,3,FALSE())&amp;" ("&amp;VLOOKUP(A281,AutoEvidence!$A$2:$G$400,2,FALSE())&amp;")",VLOOKUP(A281,AutoEvidence!$A$2:$G$400,2,FALSE())),""))</f>
        <v/>
      </c>
      <c r="T281" s="7" t="str">
        <f aca="false">IF(A281="","",IFERROR(VLOOKUP(A281,AutoEvidence!$A$2:$G$400,4,FALSE())&amp;"",""))</f>
        <v/>
      </c>
      <c r="AB281" s="13" t="str">
        <f aca="false">IF(M281="Gap",1,IF(M281="OK",0,""))</f>
        <v/>
      </c>
      <c r="AC281" s="16" t="str">
        <f aca="false">IF(P281&lt;&gt;"",VALUE(RIGHT(P281,1))*1000+ROW(),"")</f>
        <v/>
      </c>
      <c r="AD281" s="16" t="str">
        <f aca="false">IF(ISNUMBER(L281),MIN(L281,K281),"")</f>
        <v/>
      </c>
      <c r="AE281" s="16" t="str">
        <f aca="false">IF(AND(ISNUMBER(SEARCH(" PA "," "&amp;SUBSTITUTE($I281,","," ")&amp;" ")),ISNUMBER($L281)),$L281,"")</f>
        <v/>
      </c>
      <c r="AF281" s="16" t="str">
        <f aca="false">IF(AND(ISNUMBER(SEARCH(" PO "," "&amp;SUBSTITUTE($I281,","," ")&amp;" ")),ISNUMBER($L281)),$L281,"")</f>
        <v/>
      </c>
      <c r="AG281" s="16" t="str">
        <f aca="false">IF(AND(ISNUMBER(SEARCH(" MFA "," "&amp;SUBSTITUTE($I281,","," ")&amp;" ")),ISNUMBER($L281)),$L281,"")</f>
        <v/>
      </c>
      <c r="AH281" s="16" t="str">
        <f aca="false">IF(AND(ISNUMBER(SEARCH(" RAP "," "&amp;SUBSTITUTE($I281,","," ")&amp;" ")),ISNUMBER($L281)),$L281,"")</f>
        <v/>
      </c>
      <c r="AI281" s="16" t="str">
        <f aca="false">IF(AND(ISNUMBER(SEARCH(" AC "," "&amp;SUBSTITUTE($I281,","," ")&amp;" ")),ISNUMBER($L281)),$L281,"")</f>
        <v/>
      </c>
      <c r="AJ281" s="16" t="str">
        <f aca="false">IF(AND(ISNUMBER(SEARCH(" MAC "," "&amp;SUBSTITUTE($I281,","," ")&amp;" ")),ISNUMBER($L281)),$L281,"")</f>
        <v/>
      </c>
      <c r="AK281" s="16" t="str">
        <f aca="false">IF(AND(ISNUMBER(SEARCH(" UAH "," "&amp;SUBSTITUTE($I281,","," ")&amp;" ")),ISNUMBER($L281)),$L281,"")</f>
        <v/>
      </c>
      <c r="AL281" s="16" t="str">
        <f aca="false">IF(AND(ISNUMBER(SEARCH(" RB "," "&amp;SUBSTITUTE($I281,","," ")&amp;" ")),ISNUMBER($L281)),$L281,"")</f>
        <v/>
      </c>
    </row>
    <row r="282" customFormat="false" ht="15" hidden="false" customHeight="false" outlineLevel="0" collapsed="false">
      <c r="M282" s="13" t="str">
        <f aca="false">IF(ISNUMBER(L282),IF(L282&lt;K282,"Gap","OK"),IF(L282="N/A","N/A",""))</f>
        <v/>
      </c>
      <c r="P282" s="13" t="str">
        <f aca="false">IF(AND(M282="Gap",N282&lt;&gt;"",O282&lt;&gt;""),VLOOKUP(N282&amp;O282,Lists!$H$4:$I$12,2,FALSE()),"")</f>
        <v/>
      </c>
      <c r="Q282" s="13" t="str">
        <f aca="false">IF(AND(M282="Gap",O282="S",OR(N282="H",N282="M")),"Yes","")</f>
        <v/>
      </c>
      <c r="S282" s="14" t="str">
        <f aca="false">IF(A282="","",IFERROR(IF(OR(VLOOKUP(A282,AutoEvidence!$A$2:$G$400,2,FALSE())="Collected",VLOOKUP(A282,AutoEvidence!$A$2:$G$400,2,FALSE())="Partial"),VLOOKUP(A282,AutoEvidence!$A$2:$G$400,3,FALSE())&amp;" ("&amp;VLOOKUP(A282,AutoEvidence!$A$2:$G$400,2,FALSE())&amp;")",VLOOKUP(A282,AutoEvidence!$A$2:$G$400,2,FALSE())),""))</f>
        <v/>
      </c>
      <c r="T282" s="7" t="str">
        <f aca="false">IF(A282="","",IFERROR(VLOOKUP(A282,AutoEvidence!$A$2:$G$400,4,FALSE())&amp;"",""))</f>
        <v/>
      </c>
      <c r="AB282" s="13" t="str">
        <f aca="false">IF(M282="Gap",1,IF(M282="OK",0,""))</f>
        <v/>
      </c>
      <c r="AC282" s="16" t="str">
        <f aca="false">IF(P282&lt;&gt;"",VALUE(RIGHT(P282,1))*1000+ROW(),"")</f>
        <v/>
      </c>
      <c r="AD282" s="16" t="str">
        <f aca="false">IF(ISNUMBER(L282),MIN(L282,K282),"")</f>
        <v/>
      </c>
      <c r="AE282" s="16" t="str">
        <f aca="false">IF(AND(ISNUMBER(SEARCH(" PA "," "&amp;SUBSTITUTE($I282,","," ")&amp;" ")),ISNUMBER($L282)),$L282,"")</f>
        <v/>
      </c>
      <c r="AF282" s="16" t="str">
        <f aca="false">IF(AND(ISNUMBER(SEARCH(" PO "," "&amp;SUBSTITUTE($I282,","," ")&amp;" ")),ISNUMBER($L282)),$L282,"")</f>
        <v/>
      </c>
      <c r="AG282" s="16" t="str">
        <f aca="false">IF(AND(ISNUMBER(SEARCH(" MFA "," "&amp;SUBSTITUTE($I282,","," ")&amp;" ")),ISNUMBER($L282)),$L282,"")</f>
        <v/>
      </c>
      <c r="AH282" s="16" t="str">
        <f aca="false">IF(AND(ISNUMBER(SEARCH(" RAP "," "&amp;SUBSTITUTE($I282,","," ")&amp;" ")),ISNUMBER($L282)),$L282,"")</f>
        <v/>
      </c>
      <c r="AI282" s="16" t="str">
        <f aca="false">IF(AND(ISNUMBER(SEARCH(" AC "," "&amp;SUBSTITUTE($I282,","," ")&amp;" ")),ISNUMBER($L282)),$L282,"")</f>
        <v/>
      </c>
      <c r="AJ282" s="16" t="str">
        <f aca="false">IF(AND(ISNUMBER(SEARCH(" MAC "," "&amp;SUBSTITUTE($I282,","," ")&amp;" ")),ISNUMBER($L282)),$L282,"")</f>
        <v/>
      </c>
      <c r="AK282" s="16" t="str">
        <f aca="false">IF(AND(ISNUMBER(SEARCH(" UAH "," "&amp;SUBSTITUTE($I282,","," ")&amp;" ")),ISNUMBER($L282)),$L282,"")</f>
        <v/>
      </c>
      <c r="AL282" s="16" t="str">
        <f aca="false">IF(AND(ISNUMBER(SEARCH(" RB "," "&amp;SUBSTITUTE($I282,","," ")&amp;" ")),ISNUMBER($L282)),$L282,"")</f>
        <v/>
      </c>
    </row>
    <row r="283" customFormat="false" ht="15" hidden="false" customHeight="false" outlineLevel="0" collapsed="false">
      <c r="M283" s="13" t="str">
        <f aca="false">IF(ISNUMBER(L283),IF(L283&lt;K283,"Gap","OK"),IF(L283="N/A","N/A",""))</f>
        <v/>
      </c>
      <c r="P283" s="13" t="str">
        <f aca="false">IF(AND(M283="Gap",N283&lt;&gt;"",O283&lt;&gt;""),VLOOKUP(N283&amp;O283,Lists!$H$4:$I$12,2,FALSE()),"")</f>
        <v/>
      </c>
      <c r="Q283" s="13" t="str">
        <f aca="false">IF(AND(M283="Gap",O283="S",OR(N283="H",N283="M")),"Yes","")</f>
        <v/>
      </c>
      <c r="S283" s="14" t="str">
        <f aca="false">IF(A283="","",IFERROR(IF(OR(VLOOKUP(A283,AutoEvidence!$A$2:$G$400,2,FALSE())="Collected",VLOOKUP(A283,AutoEvidence!$A$2:$G$400,2,FALSE())="Partial"),VLOOKUP(A283,AutoEvidence!$A$2:$G$400,3,FALSE())&amp;" ("&amp;VLOOKUP(A283,AutoEvidence!$A$2:$G$400,2,FALSE())&amp;")",VLOOKUP(A283,AutoEvidence!$A$2:$G$400,2,FALSE())),""))</f>
        <v/>
      </c>
      <c r="T283" s="7" t="str">
        <f aca="false">IF(A283="","",IFERROR(VLOOKUP(A283,AutoEvidence!$A$2:$G$400,4,FALSE())&amp;"",""))</f>
        <v/>
      </c>
      <c r="AB283" s="13" t="str">
        <f aca="false">IF(M283="Gap",1,IF(M283="OK",0,""))</f>
        <v/>
      </c>
      <c r="AC283" s="16" t="str">
        <f aca="false">IF(P283&lt;&gt;"",VALUE(RIGHT(P283,1))*1000+ROW(),"")</f>
        <v/>
      </c>
      <c r="AD283" s="16" t="str">
        <f aca="false">IF(ISNUMBER(L283),MIN(L283,K283),"")</f>
        <v/>
      </c>
      <c r="AE283" s="16" t="str">
        <f aca="false">IF(AND(ISNUMBER(SEARCH(" PA "," "&amp;SUBSTITUTE($I283,","," ")&amp;" ")),ISNUMBER($L283)),$L283,"")</f>
        <v/>
      </c>
      <c r="AF283" s="16" t="str">
        <f aca="false">IF(AND(ISNUMBER(SEARCH(" PO "," "&amp;SUBSTITUTE($I283,","," ")&amp;" ")),ISNUMBER($L283)),$L283,"")</f>
        <v/>
      </c>
      <c r="AG283" s="16" t="str">
        <f aca="false">IF(AND(ISNUMBER(SEARCH(" MFA "," "&amp;SUBSTITUTE($I283,","," ")&amp;" ")),ISNUMBER($L283)),$L283,"")</f>
        <v/>
      </c>
      <c r="AH283" s="16" t="str">
        <f aca="false">IF(AND(ISNUMBER(SEARCH(" RAP "," "&amp;SUBSTITUTE($I283,","," ")&amp;" ")),ISNUMBER($L283)),$L283,"")</f>
        <v/>
      </c>
      <c r="AI283" s="16" t="str">
        <f aca="false">IF(AND(ISNUMBER(SEARCH(" AC "," "&amp;SUBSTITUTE($I283,","," ")&amp;" ")),ISNUMBER($L283)),$L283,"")</f>
        <v/>
      </c>
      <c r="AJ283" s="16" t="str">
        <f aca="false">IF(AND(ISNUMBER(SEARCH(" MAC "," "&amp;SUBSTITUTE($I283,","," ")&amp;" ")),ISNUMBER($L283)),$L283,"")</f>
        <v/>
      </c>
      <c r="AK283" s="16" t="str">
        <f aca="false">IF(AND(ISNUMBER(SEARCH(" UAH "," "&amp;SUBSTITUTE($I283,","," ")&amp;" ")),ISNUMBER($L283)),$L283,"")</f>
        <v/>
      </c>
      <c r="AL283" s="16" t="str">
        <f aca="false">IF(AND(ISNUMBER(SEARCH(" RB "," "&amp;SUBSTITUTE($I283,","," ")&amp;" ")),ISNUMBER($L283)),$L283,"")</f>
        <v/>
      </c>
    </row>
    <row r="284" customFormat="false" ht="15" hidden="false" customHeight="false" outlineLevel="0" collapsed="false">
      <c r="M284" s="13" t="str">
        <f aca="false">IF(ISNUMBER(L284),IF(L284&lt;K284,"Gap","OK"),IF(L284="N/A","N/A",""))</f>
        <v/>
      </c>
      <c r="P284" s="13" t="str">
        <f aca="false">IF(AND(M284="Gap",N284&lt;&gt;"",O284&lt;&gt;""),VLOOKUP(N284&amp;O284,Lists!$H$4:$I$12,2,FALSE()),"")</f>
        <v/>
      </c>
      <c r="Q284" s="13" t="str">
        <f aca="false">IF(AND(M284="Gap",O284="S",OR(N284="H",N284="M")),"Yes","")</f>
        <v/>
      </c>
      <c r="S284" s="14" t="str">
        <f aca="false">IF(A284="","",IFERROR(IF(OR(VLOOKUP(A284,AutoEvidence!$A$2:$G$400,2,FALSE())="Collected",VLOOKUP(A284,AutoEvidence!$A$2:$G$400,2,FALSE())="Partial"),VLOOKUP(A284,AutoEvidence!$A$2:$G$400,3,FALSE())&amp;" ("&amp;VLOOKUP(A284,AutoEvidence!$A$2:$G$400,2,FALSE())&amp;")",VLOOKUP(A284,AutoEvidence!$A$2:$G$400,2,FALSE())),""))</f>
        <v/>
      </c>
      <c r="T284" s="7" t="str">
        <f aca="false">IF(A284="","",IFERROR(VLOOKUP(A284,AutoEvidence!$A$2:$G$400,4,FALSE())&amp;"",""))</f>
        <v/>
      </c>
      <c r="AB284" s="13" t="str">
        <f aca="false">IF(M284="Gap",1,IF(M284="OK",0,""))</f>
        <v/>
      </c>
      <c r="AC284" s="16" t="str">
        <f aca="false">IF(P284&lt;&gt;"",VALUE(RIGHT(P284,1))*1000+ROW(),"")</f>
        <v/>
      </c>
      <c r="AD284" s="16" t="str">
        <f aca="false">IF(ISNUMBER(L284),MIN(L284,K284),"")</f>
        <v/>
      </c>
      <c r="AE284" s="16" t="str">
        <f aca="false">IF(AND(ISNUMBER(SEARCH(" PA "," "&amp;SUBSTITUTE($I284,","," ")&amp;" ")),ISNUMBER($L284)),$L284,"")</f>
        <v/>
      </c>
      <c r="AF284" s="16" t="str">
        <f aca="false">IF(AND(ISNUMBER(SEARCH(" PO "," "&amp;SUBSTITUTE($I284,","," ")&amp;" ")),ISNUMBER($L284)),$L284,"")</f>
        <v/>
      </c>
      <c r="AG284" s="16" t="str">
        <f aca="false">IF(AND(ISNUMBER(SEARCH(" MFA "," "&amp;SUBSTITUTE($I284,","," ")&amp;" ")),ISNUMBER($L284)),$L284,"")</f>
        <v/>
      </c>
      <c r="AH284" s="16" t="str">
        <f aca="false">IF(AND(ISNUMBER(SEARCH(" RAP "," "&amp;SUBSTITUTE($I284,","," ")&amp;" ")),ISNUMBER($L284)),$L284,"")</f>
        <v/>
      </c>
      <c r="AI284" s="16" t="str">
        <f aca="false">IF(AND(ISNUMBER(SEARCH(" AC "," "&amp;SUBSTITUTE($I284,","," ")&amp;" ")),ISNUMBER($L284)),$L284,"")</f>
        <v/>
      </c>
      <c r="AJ284" s="16" t="str">
        <f aca="false">IF(AND(ISNUMBER(SEARCH(" MAC "," "&amp;SUBSTITUTE($I284,","," ")&amp;" ")),ISNUMBER($L284)),$L284,"")</f>
        <v/>
      </c>
      <c r="AK284" s="16" t="str">
        <f aca="false">IF(AND(ISNUMBER(SEARCH(" UAH "," "&amp;SUBSTITUTE($I284,","," ")&amp;" ")),ISNUMBER($L284)),$L284,"")</f>
        <v/>
      </c>
      <c r="AL284" s="16" t="str">
        <f aca="false">IF(AND(ISNUMBER(SEARCH(" RB "," "&amp;SUBSTITUTE($I284,","," ")&amp;" ")),ISNUMBER($L284)),$L284,"")</f>
        <v/>
      </c>
    </row>
    <row r="285" customFormat="false" ht="15" hidden="false" customHeight="false" outlineLevel="0" collapsed="false">
      <c r="M285" s="13" t="str">
        <f aca="false">IF(ISNUMBER(L285),IF(L285&lt;K285,"Gap","OK"),IF(L285="N/A","N/A",""))</f>
        <v/>
      </c>
      <c r="P285" s="13" t="str">
        <f aca="false">IF(AND(M285="Gap",N285&lt;&gt;"",O285&lt;&gt;""),VLOOKUP(N285&amp;O285,Lists!$H$4:$I$12,2,FALSE()),"")</f>
        <v/>
      </c>
      <c r="Q285" s="13" t="str">
        <f aca="false">IF(AND(M285="Gap",O285="S",OR(N285="H",N285="M")),"Yes","")</f>
        <v/>
      </c>
      <c r="S285" s="14" t="str">
        <f aca="false">IF(A285="","",IFERROR(IF(OR(VLOOKUP(A285,AutoEvidence!$A$2:$G$400,2,FALSE())="Collected",VLOOKUP(A285,AutoEvidence!$A$2:$G$400,2,FALSE())="Partial"),VLOOKUP(A285,AutoEvidence!$A$2:$G$400,3,FALSE())&amp;" ("&amp;VLOOKUP(A285,AutoEvidence!$A$2:$G$400,2,FALSE())&amp;")",VLOOKUP(A285,AutoEvidence!$A$2:$G$400,2,FALSE())),""))</f>
        <v/>
      </c>
      <c r="T285" s="7" t="str">
        <f aca="false">IF(A285="","",IFERROR(VLOOKUP(A285,AutoEvidence!$A$2:$G$400,4,FALSE())&amp;"",""))</f>
        <v/>
      </c>
      <c r="AB285" s="13" t="str">
        <f aca="false">IF(M285="Gap",1,IF(M285="OK",0,""))</f>
        <v/>
      </c>
      <c r="AC285" s="16" t="str">
        <f aca="false">IF(P285&lt;&gt;"",VALUE(RIGHT(P285,1))*1000+ROW(),"")</f>
        <v/>
      </c>
      <c r="AD285" s="16" t="str">
        <f aca="false">IF(ISNUMBER(L285),MIN(L285,K285),"")</f>
        <v/>
      </c>
      <c r="AE285" s="16" t="str">
        <f aca="false">IF(AND(ISNUMBER(SEARCH(" PA "," "&amp;SUBSTITUTE($I285,","," ")&amp;" ")),ISNUMBER($L285)),$L285,"")</f>
        <v/>
      </c>
      <c r="AF285" s="16" t="str">
        <f aca="false">IF(AND(ISNUMBER(SEARCH(" PO "," "&amp;SUBSTITUTE($I285,","," ")&amp;" ")),ISNUMBER($L285)),$L285,"")</f>
        <v/>
      </c>
      <c r="AG285" s="16" t="str">
        <f aca="false">IF(AND(ISNUMBER(SEARCH(" MFA "," "&amp;SUBSTITUTE($I285,","," ")&amp;" ")),ISNUMBER($L285)),$L285,"")</f>
        <v/>
      </c>
      <c r="AH285" s="16" t="str">
        <f aca="false">IF(AND(ISNUMBER(SEARCH(" RAP "," "&amp;SUBSTITUTE($I285,","," ")&amp;" ")),ISNUMBER($L285)),$L285,"")</f>
        <v/>
      </c>
      <c r="AI285" s="16" t="str">
        <f aca="false">IF(AND(ISNUMBER(SEARCH(" AC "," "&amp;SUBSTITUTE($I285,","," ")&amp;" ")),ISNUMBER($L285)),$L285,"")</f>
        <v/>
      </c>
      <c r="AJ285" s="16" t="str">
        <f aca="false">IF(AND(ISNUMBER(SEARCH(" MAC "," "&amp;SUBSTITUTE($I285,","," ")&amp;" ")),ISNUMBER($L285)),$L285,"")</f>
        <v/>
      </c>
      <c r="AK285" s="16" t="str">
        <f aca="false">IF(AND(ISNUMBER(SEARCH(" UAH "," "&amp;SUBSTITUTE($I285,","," ")&amp;" ")),ISNUMBER($L285)),$L285,"")</f>
        <v/>
      </c>
      <c r="AL285" s="16" t="str">
        <f aca="false">IF(AND(ISNUMBER(SEARCH(" RB "," "&amp;SUBSTITUTE($I285,","," ")&amp;" ")),ISNUMBER($L285)),$L285,"")</f>
        <v/>
      </c>
    </row>
    <row r="286" customFormat="false" ht="15" hidden="false" customHeight="false" outlineLevel="0" collapsed="false">
      <c r="M286" s="13" t="str">
        <f aca="false">IF(ISNUMBER(L286),IF(L286&lt;K286,"Gap","OK"),IF(L286="N/A","N/A",""))</f>
        <v/>
      </c>
      <c r="P286" s="13" t="str">
        <f aca="false">IF(AND(M286="Gap",N286&lt;&gt;"",O286&lt;&gt;""),VLOOKUP(N286&amp;O286,Lists!$H$4:$I$12,2,FALSE()),"")</f>
        <v/>
      </c>
      <c r="Q286" s="13" t="str">
        <f aca="false">IF(AND(M286="Gap",O286="S",OR(N286="H",N286="M")),"Yes","")</f>
        <v/>
      </c>
      <c r="S286" s="14" t="str">
        <f aca="false">IF(A286="","",IFERROR(IF(OR(VLOOKUP(A286,AutoEvidence!$A$2:$G$400,2,FALSE())="Collected",VLOOKUP(A286,AutoEvidence!$A$2:$G$400,2,FALSE())="Partial"),VLOOKUP(A286,AutoEvidence!$A$2:$G$400,3,FALSE())&amp;" ("&amp;VLOOKUP(A286,AutoEvidence!$A$2:$G$400,2,FALSE())&amp;")",VLOOKUP(A286,AutoEvidence!$A$2:$G$400,2,FALSE())),""))</f>
        <v/>
      </c>
      <c r="T286" s="7" t="str">
        <f aca="false">IF(A286="","",IFERROR(VLOOKUP(A286,AutoEvidence!$A$2:$G$400,4,FALSE())&amp;"",""))</f>
        <v/>
      </c>
      <c r="AB286" s="13" t="str">
        <f aca="false">IF(M286="Gap",1,IF(M286="OK",0,""))</f>
        <v/>
      </c>
      <c r="AC286" s="16" t="str">
        <f aca="false">IF(P286&lt;&gt;"",VALUE(RIGHT(P286,1))*1000+ROW(),"")</f>
        <v/>
      </c>
      <c r="AD286" s="16" t="str">
        <f aca="false">IF(ISNUMBER(L286),MIN(L286,K286),"")</f>
        <v/>
      </c>
      <c r="AE286" s="16" t="str">
        <f aca="false">IF(AND(ISNUMBER(SEARCH(" PA "," "&amp;SUBSTITUTE($I286,","," ")&amp;" ")),ISNUMBER($L286)),$L286,"")</f>
        <v/>
      </c>
      <c r="AF286" s="16" t="str">
        <f aca="false">IF(AND(ISNUMBER(SEARCH(" PO "," "&amp;SUBSTITUTE($I286,","," ")&amp;" ")),ISNUMBER($L286)),$L286,"")</f>
        <v/>
      </c>
      <c r="AG286" s="16" t="str">
        <f aca="false">IF(AND(ISNUMBER(SEARCH(" MFA "," "&amp;SUBSTITUTE($I286,","," ")&amp;" ")),ISNUMBER($L286)),$L286,"")</f>
        <v/>
      </c>
      <c r="AH286" s="16" t="str">
        <f aca="false">IF(AND(ISNUMBER(SEARCH(" RAP "," "&amp;SUBSTITUTE($I286,","," ")&amp;" ")),ISNUMBER($L286)),$L286,"")</f>
        <v/>
      </c>
      <c r="AI286" s="16" t="str">
        <f aca="false">IF(AND(ISNUMBER(SEARCH(" AC "," "&amp;SUBSTITUTE($I286,","," ")&amp;" ")),ISNUMBER($L286)),$L286,"")</f>
        <v/>
      </c>
      <c r="AJ286" s="16" t="str">
        <f aca="false">IF(AND(ISNUMBER(SEARCH(" MAC "," "&amp;SUBSTITUTE($I286,","," ")&amp;" ")),ISNUMBER($L286)),$L286,"")</f>
        <v/>
      </c>
      <c r="AK286" s="16" t="str">
        <f aca="false">IF(AND(ISNUMBER(SEARCH(" UAH "," "&amp;SUBSTITUTE($I286,","," ")&amp;" ")),ISNUMBER($L286)),$L286,"")</f>
        <v/>
      </c>
      <c r="AL286" s="16" t="str">
        <f aca="false">IF(AND(ISNUMBER(SEARCH(" RB "," "&amp;SUBSTITUTE($I286,","," ")&amp;" ")),ISNUMBER($L286)),$L286,"")</f>
        <v/>
      </c>
    </row>
    <row r="287" customFormat="false" ht="15" hidden="false" customHeight="false" outlineLevel="0" collapsed="false">
      <c r="M287" s="13" t="str">
        <f aca="false">IF(ISNUMBER(L287),IF(L287&lt;K287,"Gap","OK"),IF(L287="N/A","N/A",""))</f>
        <v/>
      </c>
      <c r="P287" s="13" t="str">
        <f aca="false">IF(AND(M287="Gap",N287&lt;&gt;"",O287&lt;&gt;""),VLOOKUP(N287&amp;O287,Lists!$H$4:$I$12,2,FALSE()),"")</f>
        <v/>
      </c>
      <c r="Q287" s="13" t="str">
        <f aca="false">IF(AND(M287="Gap",O287="S",OR(N287="H",N287="M")),"Yes","")</f>
        <v/>
      </c>
      <c r="S287" s="14" t="str">
        <f aca="false">IF(A287="","",IFERROR(IF(OR(VLOOKUP(A287,AutoEvidence!$A$2:$G$400,2,FALSE())="Collected",VLOOKUP(A287,AutoEvidence!$A$2:$G$400,2,FALSE())="Partial"),VLOOKUP(A287,AutoEvidence!$A$2:$G$400,3,FALSE())&amp;" ("&amp;VLOOKUP(A287,AutoEvidence!$A$2:$G$400,2,FALSE())&amp;")",VLOOKUP(A287,AutoEvidence!$A$2:$G$400,2,FALSE())),""))</f>
        <v/>
      </c>
      <c r="T287" s="7" t="str">
        <f aca="false">IF(A287="","",IFERROR(VLOOKUP(A287,AutoEvidence!$A$2:$G$400,4,FALSE())&amp;"",""))</f>
        <v/>
      </c>
      <c r="AB287" s="13" t="str">
        <f aca="false">IF(M287="Gap",1,IF(M287="OK",0,""))</f>
        <v/>
      </c>
      <c r="AC287" s="16" t="str">
        <f aca="false">IF(P287&lt;&gt;"",VALUE(RIGHT(P287,1))*1000+ROW(),"")</f>
        <v/>
      </c>
      <c r="AD287" s="16" t="str">
        <f aca="false">IF(ISNUMBER(L287),MIN(L287,K287),"")</f>
        <v/>
      </c>
      <c r="AE287" s="16" t="str">
        <f aca="false">IF(AND(ISNUMBER(SEARCH(" PA "," "&amp;SUBSTITUTE($I287,","," ")&amp;" ")),ISNUMBER($L287)),$L287,"")</f>
        <v/>
      </c>
      <c r="AF287" s="16" t="str">
        <f aca="false">IF(AND(ISNUMBER(SEARCH(" PO "," "&amp;SUBSTITUTE($I287,","," ")&amp;" ")),ISNUMBER($L287)),$L287,"")</f>
        <v/>
      </c>
      <c r="AG287" s="16" t="str">
        <f aca="false">IF(AND(ISNUMBER(SEARCH(" MFA "," "&amp;SUBSTITUTE($I287,","," ")&amp;" ")),ISNUMBER($L287)),$L287,"")</f>
        <v/>
      </c>
      <c r="AH287" s="16" t="str">
        <f aca="false">IF(AND(ISNUMBER(SEARCH(" RAP "," "&amp;SUBSTITUTE($I287,","," ")&amp;" ")),ISNUMBER($L287)),$L287,"")</f>
        <v/>
      </c>
      <c r="AI287" s="16" t="str">
        <f aca="false">IF(AND(ISNUMBER(SEARCH(" AC "," "&amp;SUBSTITUTE($I287,","," ")&amp;" ")),ISNUMBER($L287)),$L287,"")</f>
        <v/>
      </c>
      <c r="AJ287" s="16" t="str">
        <f aca="false">IF(AND(ISNUMBER(SEARCH(" MAC "," "&amp;SUBSTITUTE($I287,","," ")&amp;" ")),ISNUMBER($L287)),$L287,"")</f>
        <v/>
      </c>
      <c r="AK287" s="16" t="str">
        <f aca="false">IF(AND(ISNUMBER(SEARCH(" UAH "," "&amp;SUBSTITUTE($I287,","," ")&amp;" ")),ISNUMBER($L287)),$L287,"")</f>
        <v/>
      </c>
      <c r="AL287" s="16" t="str">
        <f aca="false">IF(AND(ISNUMBER(SEARCH(" RB "," "&amp;SUBSTITUTE($I287,","," ")&amp;" ")),ISNUMBER($L287)),$L287,"")</f>
        <v/>
      </c>
    </row>
    <row r="288" customFormat="false" ht="15" hidden="false" customHeight="false" outlineLevel="0" collapsed="false">
      <c r="M288" s="13" t="str">
        <f aca="false">IF(ISNUMBER(L288),IF(L288&lt;K288,"Gap","OK"),IF(L288="N/A","N/A",""))</f>
        <v/>
      </c>
      <c r="P288" s="13" t="str">
        <f aca="false">IF(AND(M288="Gap",N288&lt;&gt;"",O288&lt;&gt;""),VLOOKUP(N288&amp;O288,Lists!$H$4:$I$12,2,FALSE()),"")</f>
        <v/>
      </c>
      <c r="Q288" s="13" t="str">
        <f aca="false">IF(AND(M288="Gap",O288="S",OR(N288="H",N288="M")),"Yes","")</f>
        <v/>
      </c>
      <c r="S288" s="14" t="str">
        <f aca="false">IF(A288="","",IFERROR(IF(OR(VLOOKUP(A288,AutoEvidence!$A$2:$G$400,2,FALSE())="Collected",VLOOKUP(A288,AutoEvidence!$A$2:$G$400,2,FALSE())="Partial"),VLOOKUP(A288,AutoEvidence!$A$2:$G$400,3,FALSE())&amp;" ("&amp;VLOOKUP(A288,AutoEvidence!$A$2:$G$400,2,FALSE())&amp;")",VLOOKUP(A288,AutoEvidence!$A$2:$G$400,2,FALSE())),""))</f>
        <v/>
      </c>
      <c r="T288" s="7" t="str">
        <f aca="false">IF(A288="","",IFERROR(VLOOKUP(A288,AutoEvidence!$A$2:$G$400,4,FALSE())&amp;"",""))</f>
        <v/>
      </c>
      <c r="AB288" s="13" t="str">
        <f aca="false">IF(M288="Gap",1,IF(M288="OK",0,""))</f>
        <v/>
      </c>
      <c r="AC288" s="16" t="str">
        <f aca="false">IF(P288&lt;&gt;"",VALUE(RIGHT(P288,1))*1000+ROW(),"")</f>
        <v/>
      </c>
      <c r="AD288" s="16" t="str">
        <f aca="false">IF(ISNUMBER(L288),MIN(L288,K288),"")</f>
        <v/>
      </c>
      <c r="AE288" s="16" t="str">
        <f aca="false">IF(AND(ISNUMBER(SEARCH(" PA "," "&amp;SUBSTITUTE($I288,","," ")&amp;" ")),ISNUMBER($L288)),$L288,"")</f>
        <v/>
      </c>
      <c r="AF288" s="16" t="str">
        <f aca="false">IF(AND(ISNUMBER(SEARCH(" PO "," "&amp;SUBSTITUTE($I288,","," ")&amp;" ")),ISNUMBER($L288)),$L288,"")</f>
        <v/>
      </c>
      <c r="AG288" s="16" t="str">
        <f aca="false">IF(AND(ISNUMBER(SEARCH(" MFA "," "&amp;SUBSTITUTE($I288,","," ")&amp;" ")),ISNUMBER($L288)),$L288,"")</f>
        <v/>
      </c>
      <c r="AH288" s="16" t="str">
        <f aca="false">IF(AND(ISNUMBER(SEARCH(" RAP "," "&amp;SUBSTITUTE($I288,","," ")&amp;" ")),ISNUMBER($L288)),$L288,"")</f>
        <v/>
      </c>
      <c r="AI288" s="16" t="str">
        <f aca="false">IF(AND(ISNUMBER(SEARCH(" AC "," "&amp;SUBSTITUTE($I288,","," ")&amp;" ")),ISNUMBER($L288)),$L288,"")</f>
        <v/>
      </c>
      <c r="AJ288" s="16" t="str">
        <f aca="false">IF(AND(ISNUMBER(SEARCH(" MAC "," "&amp;SUBSTITUTE($I288,","," ")&amp;" ")),ISNUMBER($L288)),$L288,"")</f>
        <v/>
      </c>
      <c r="AK288" s="16" t="str">
        <f aca="false">IF(AND(ISNUMBER(SEARCH(" UAH "," "&amp;SUBSTITUTE($I288,","," ")&amp;" ")),ISNUMBER($L288)),$L288,"")</f>
        <v/>
      </c>
      <c r="AL288" s="16" t="str">
        <f aca="false">IF(AND(ISNUMBER(SEARCH(" RB "," "&amp;SUBSTITUTE($I288,","," ")&amp;" ")),ISNUMBER($L288)),$L288,"")</f>
        <v/>
      </c>
    </row>
    <row r="289" customFormat="false" ht="15" hidden="false" customHeight="false" outlineLevel="0" collapsed="false">
      <c r="M289" s="13" t="str">
        <f aca="false">IF(ISNUMBER(L289),IF(L289&lt;K289,"Gap","OK"),IF(L289="N/A","N/A",""))</f>
        <v/>
      </c>
      <c r="P289" s="13" t="str">
        <f aca="false">IF(AND(M289="Gap",N289&lt;&gt;"",O289&lt;&gt;""),VLOOKUP(N289&amp;O289,Lists!$H$4:$I$12,2,FALSE()),"")</f>
        <v/>
      </c>
      <c r="Q289" s="13" t="str">
        <f aca="false">IF(AND(M289="Gap",O289="S",OR(N289="H",N289="M")),"Yes","")</f>
        <v/>
      </c>
      <c r="S289" s="14" t="str">
        <f aca="false">IF(A289="","",IFERROR(IF(OR(VLOOKUP(A289,AutoEvidence!$A$2:$G$400,2,FALSE())="Collected",VLOOKUP(A289,AutoEvidence!$A$2:$G$400,2,FALSE())="Partial"),VLOOKUP(A289,AutoEvidence!$A$2:$G$400,3,FALSE())&amp;" ("&amp;VLOOKUP(A289,AutoEvidence!$A$2:$G$400,2,FALSE())&amp;")",VLOOKUP(A289,AutoEvidence!$A$2:$G$400,2,FALSE())),""))</f>
        <v/>
      </c>
      <c r="T289" s="7" t="str">
        <f aca="false">IF(A289="","",IFERROR(VLOOKUP(A289,AutoEvidence!$A$2:$G$400,4,FALSE())&amp;"",""))</f>
        <v/>
      </c>
      <c r="AB289" s="13" t="str">
        <f aca="false">IF(M289="Gap",1,IF(M289="OK",0,""))</f>
        <v/>
      </c>
      <c r="AC289" s="16" t="str">
        <f aca="false">IF(P289&lt;&gt;"",VALUE(RIGHT(P289,1))*1000+ROW(),"")</f>
        <v/>
      </c>
      <c r="AD289" s="16" t="str">
        <f aca="false">IF(ISNUMBER(L289),MIN(L289,K289),"")</f>
        <v/>
      </c>
      <c r="AE289" s="16" t="str">
        <f aca="false">IF(AND(ISNUMBER(SEARCH(" PA "," "&amp;SUBSTITUTE($I289,","," ")&amp;" ")),ISNUMBER($L289)),$L289,"")</f>
        <v/>
      </c>
      <c r="AF289" s="16" t="str">
        <f aca="false">IF(AND(ISNUMBER(SEARCH(" PO "," "&amp;SUBSTITUTE($I289,","," ")&amp;" ")),ISNUMBER($L289)),$L289,"")</f>
        <v/>
      </c>
      <c r="AG289" s="16" t="str">
        <f aca="false">IF(AND(ISNUMBER(SEARCH(" MFA "," "&amp;SUBSTITUTE($I289,","," ")&amp;" ")),ISNUMBER($L289)),$L289,"")</f>
        <v/>
      </c>
      <c r="AH289" s="16" t="str">
        <f aca="false">IF(AND(ISNUMBER(SEARCH(" RAP "," "&amp;SUBSTITUTE($I289,","," ")&amp;" ")),ISNUMBER($L289)),$L289,"")</f>
        <v/>
      </c>
      <c r="AI289" s="16" t="str">
        <f aca="false">IF(AND(ISNUMBER(SEARCH(" AC "," "&amp;SUBSTITUTE($I289,","," ")&amp;" ")),ISNUMBER($L289)),$L289,"")</f>
        <v/>
      </c>
      <c r="AJ289" s="16" t="str">
        <f aca="false">IF(AND(ISNUMBER(SEARCH(" MAC "," "&amp;SUBSTITUTE($I289,","," ")&amp;" ")),ISNUMBER($L289)),$L289,"")</f>
        <v/>
      </c>
      <c r="AK289" s="16" t="str">
        <f aca="false">IF(AND(ISNUMBER(SEARCH(" UAH "," "&amp;SUBSTITUTE($I289,","," ")&amp;" ")),ISNUMBER($L289)),$L289,"")</f>
        <v/>
      </c>
      <c r="AL289" s="16" t="str">
        <f aca="false">IF(AND(ISNUMBER(SEARCH(" RB "," "&amp;SUBSTITUTE($I289,","," ")&amp;" ")),ISNUMBER($L289)),$L289,"")</f>
        <v/>
      </c>
    </row>
    <row r="290" customFormat="false" ht="15" hidden="false" customHeight="false" outlineLevel="0" collapsed="false">
      <c r="M290" s="13" t="str">
        <f aca="false">IF(ISNUMBER(L290),IF(L290&lt;K290,"Gap","OK"),IF(L290="N/A","N/A",""))</f>
        <v/>
      </c>
      <c r="P290" s="13" t="str">
        <f aca="false">IF(AND(M290="Gap",N290&lt;&gt;"",O290&lt;&gt;""),VLOOKUP(N290&amp;O290,Lists!$H$4:$I$12,2,FALSE()),"")</f>
        <v/>
      </c>
      <c r="Q290" s="13" t="str">
        <f aca="false">IF(AND(M290="Gap",O290="S",OR(N290="H",N290="M")),"Yes","")</f>
        <v/>
      </c>
      <c r="S290" s="14" t="str">
        <f aca="false">IF(A290="","",IFERROR(IF(OR(VLOOKUP(A290,AutoEvidence!$A$2:$G$400,2,FALSE())="Collected",VLOOKUP(A290,AutoEvidence!$A$2:$G$400,2,FALSE())="Partial"),VLOOKUP(A290,AutoEvidence!$A$2:$G$400,3,FALSE())&amp;" ("&amp;VLOOKUP(A290,AutoEvidence!$A$2:$G$400,2,FALSE())&amp;")",VLOOKUP(A290,AutoEvidence!$A$2:$G$400,2,FALSE())),""))</f>
        <v/>
      </c>
      <c r="T290" s="7" t="str">
        <f aca="false">IF(A290="","",IFERROR(VLOOKUP(A290,AutoEvidence!$A$2:$G$400,4,FALSE())&amp;"",""))</f>
        <v/>
      </c>
      <c r="AB290" s="13" t="str">
        <f aca="false">IF(M290="Gap",1,IF(M290="OK",0,""))</f>
        <v/>
      </c>
      <c r="AC290" s="16" t="str">
        <f aca="false">IF(P290&lt;&gt;"",VALUE(RIGHT(P290,1))*1000+ROW(),"")</f>
        <v/>
      </c>
      <c r="AD290" s="16" t="str">
        <f aca="false">IF(ISNUMBER(L290),MIN(L290,K290),"")</f>
        <v/>
      </c>
      <c r="AE290" s="16" t="str">
        <f aca="false">IF(AND(ISNUMBER(SEARCH(" PA "," "&amp;SUBSTITUTE($I290,","," ")&amp;" ")),ISNUMBER($L290)),$L290,"")</f>
        <v/>
      </c>
      <c r="AF290" s="16" t="str">
        <f aca="false">IF(AND(ISNUMBER(SEARCH(" PO "," "&amp;SUBSTITUTE($I290,","," ")&amp;" ")),ISNUMBER($L290)),$L290,"")</f>
        <v/>
      </c>
      <c r="AG290" s="16" t="str">
        <f aca="false">IF(AND(ISNUMBER(SEARCH(" MFA "," "&amp;SUBSTITUTE($I290,","," ")&amp;" ")),ISNUMBER($L290)),$L290,"")</f>
        <v/>
      </c>
      <c r="AH290" s="16" t="str">
        <f aca="false">IF(AND(ISNUMBER(SEARCH(" RAP "," "&amp;SUBSTITUTE($I290,","," ")&amp;" ")),ISNUMBER($L290)),$L290,"")</f>
        <v/>
      </c>
      <c r="AI290" s="16" t="str">
        <f aca="false">IF(AND(ISNUMBER(SEARCH(" AC "," "&amp;SUBSTITUTE($I290,","," ")&amp;" ")),ISNUMBER($L290)),$L290,"")</f>
        <v/>
      </c>
      <c r="AJ290" s="16" t="str">
        <f aca="false">IF(AND(ISNUMBER(SEARCH(" MAC "," "&amp;SUBSTITUTE($I290,","," ")&amp;" ")),ISNUMBER($L290)),$L290,"")</f>
        <v/>
      </c>
      <c r="AK290" s="16" t="str">
        <f aca="false">IF(AND(ISNUMBER(SEARCH(" UAH "," "&amp;SUBSTITUTE($I290,","," ")&amp;" ")),ISNUMBER($L290)),$L290,"")</f>
        <v/>
      </c>
      <c r="AL290" s="16" t="str">
        <f aca="false">IF(AND(ISNUMBER(SEARCH(" RB "," "&amp;SUBSTITUTE($I290,","," ")&amp;" ")),ISNUMBER($L290)),$L290,"")</f>
        <v/>
      </c>
    </row>
    <row r="291" customFormat="false" ht="15" hidden="false" customHeight="false" outlineLevel="0" collapsed="false">
      <c r="M291" s="13" t="str">
        <f aca="false">IF(ISNUMBER(L291),IF(L291&lt;K291,"Gap","OK"),IF(L291="N/A","N/A",""))</f>
        <v/>
      </c>
      <c r="P291" s="13" t="str">
        <f aca="false">IF(AND(M291="Gap",N291&lt;&gt;"",O291&lt;&gt;""),VLOOKUP(N291&amp;O291,Lists!$H$4:$I$12,2,FALSE()),"")</f>
        <v/>
      </c>
      <c r="Q291" s="13" t="str">
        <f aca="false">IF(AND(M291="Gap",O291="S",OR(N291="H",N291="M")),"Yes","")</f>
        <v/>
      </c>
      <c r="S291" s="14" t="str">
        <f aca="false">IF(A291="","",IFERROR(IF(OR(VLOOKUP(A291,AutoEvidence!$A$2:$G$400,2,FALSE())="Collected",VLOOKUP(A291,AutoEvidence!$A$2:$G$400,2,FALSE())="Partial"),VLOOKUP(A291,AutoEvidence!$A$2:$G$400,3,FALSE())&amp;" ("&amp;VLOOKUP(A291,AutoEvidence!$A$2:$G$400,2,FALSE())&amp;")",VLOOKUP(A291,AutoEvidence!$A$2:$G$400,2,FALSE())),""))</f>
        <v/>
      </c>
      <c r="T291" s="7" t="str">
        <f aca="false">IF(A291="","",IFERROR(VLOOKUP(A291,AutoEvidence!$A$2:$G$400,4,FALSE())&amp;"",""))</f>
        <v/>
      </c>
      <c r="AB291" s="13" t="str">
        <f aca="false">IF(M291="Gap",1,IF(M291="OK",0,""))</f>
        <v/>
      </c>
      <c r="AC291" s="16" t="str">
        <f aca="false">IF(P291&lt;&gt;"",VALUE(RIGHT(P291,1))*1000+ROW(),"")</f>
        <v/>
      </c>
      <c r="AD291" s="16" t="str">
        <f aca="false">IF(ISNUMBER(L291),MIN(L291,K291),"")</f>
        <v/>
      </c>
      <c r="AE291" s="16" t="str">
        <f aca="false">IF(AND(ISNUMBER(SEARCH(" PA "," "&amp;SUBSTITUTE($I291,","," ")&amp;" ")),ISNUMBER($L291)),$L291,"")</f>
        <v/>
      </c>
      <c r="AF291" s="16" t="str">
        <f aca="false">IF(AND(ISNUMBER(SEARCH(" PO "," "&amp;SUBSTITUTE($I291,","," ")&amp;" ")),ISNUMBER($L291)),$L291,"")</f>
        <v/>
      </c>
      <c r="AG291" s="16" t="str">
        <f aca="false">IF(AND(ISNUMBER(SEARCH(" MFA "," "&amp;SUBSTITUTE($I291,","," ")&amp;" ")),ISNUMBER($L291)),$L291,"")</f>
        <v/>
      </c>
      <c r="AH291" s="16" t="str">
        <f aca="false">IF(AND(ISNUMBER(SEARCH(" RAP "," "&amp;SUBSTITUTE($I291,","," ")&amp;" ")),ISNUMBER($L291)),$L291,"")</f>
        <v/>
      </c>
      <c r="AI291" s="16" t="str">
        <f aca="false">IF(AND(ISNUMBER(SEARCH(" AC "," "&amp;SUBSTITUTE($I291,","," ")&amp;" ")),ISNUMBER($L291)),$L291,"")</f>
        <v/>
      </c>
      <c r="AJ291" s="16" t="str">
        <f aca="false">IF(AND(ISNUMBER(SEARCH(" MAC "," "&amp;SUBSTITUTE($I291,","," ")&amp;" ")),ISNUMBER($L291)),$L291,"")</f>
        <v/>
      </c>
      <c r="AK291" s="16" t="str">
        <f aca="false">IF(AND(ISNUMBER(SEARCH(" UAH "," "&amp;SUBSTITUTE($I291,","," ")&amp;" ")),ISNUMBER($L291)),$L291,"")</f>
        <v/>
      </c>
      <c r="AL291" s="16" t="str">
        <f aca="false">IF(AND(ISNUMBER(SEARCH(" RB "," "&amp;SUBSTITUTE($I291,","," ")&amp;" ")),ISNUMBER($L291)),$L291,"")</f>
        <v/>
      </c>
    </row>
    <row r="292" customFormat="false" ht="15" hidden="false" customHeight="false" outlineLevel="0" collapsed="false">
      <c r="M292" s="13" t="str">
        <f aca="false">IF(ISNUMBER(L292),IF(L292&lt;K292,"Gap","OK"),IF(L292="N/A","N/A",""))</f>
        <v/>
      </c>
      <c r="P292" s="13" t="str">
        <f aca="false">IF(AND(M292="Gap",N292&lt;&gt;"",O292&lt;&gt;""),VLOOKUP(N292&amp;O292,Lists!$H$4:$I$12,2,FALSE()),"")</f>
        <v/>
      </c>
      <c r="Q292" s="13" t="str">
        <f aca="false">IF(AND(M292="Gap",O292="S",OR(N292="H",N292="M")),"Yes","")</f>
        <v/>
      </c>
      <c r="S292" s="14" t="str">
        <f aca="false">IF(A292="","",IFERROR(IF(OR(VLOOKUP(A292,AutoEvidence!$A$2:$G$400,2,FALSE())="Collected",VLOOKUP(A292,AutoEvidence!$A$2:$G$400,2,FALSE())="Partial"),VLOOKUP(A292,AutoEvidence!$A$2:$G$400,3,FALSE())&amp;" ("&amp;VLOOKUP(A292,AutoEvidence!$A$2:$G$400,2,FALSE())&amp;")",VLOOKUP(A292,AutoEvidence!$A$2:$G$400,2,FALSE())),""))</f>
        <v/>
      </c>
      <c r="T292" s="7" t="str">
        <f aca="false">IF(A292="","",IFERROR(VLOOKUP(A292,AutoEvidence!$A$2:$G$400,4,FALSE())&amp;"",""))</f>
        <v/>
      </c>
      <c r="AB292" s="13" t="str">
        <f aca="false">IF(M292="Gap",1,IF(M292="OK",0,""))</f>
        <v/>
      </c>
      <c r="AC292" s="16" t="str">
        <f aca="false">IF(P292&lt;&gt;"",VALUE(RIGHT(P292,1))*1000+ROW(),"")</f>
        <v/>
      </c>
      <c r="AD292" s="16" t="str">
        <f aca="false">IF(ISNUMBER(L292),MIN(L292,K292),"")</f>
        <v/>
      </c>
      <c r="AE292" s="16" t="str">
        <f aca="false">IF(AND(ISNUMBER(SEARCH(" PA "," "&amp;SUBSTITUTE($I292,","," ")&amp;" ")),ISNUMBER($L292)),$L292,"")</f>
        <v/>
      </c>
      <c r="AF292" s="16" t="str">
        <f aca="false">IF(AND(ISNUMBER(SEARCH(" PO "," "&amp;SUBSTITUTE($I292,","," ")&amp;" ")),ISNUMBER($L292)),$L292,"")</f>
        <v/>
      </c>
      <c r="AG292" s="16" t="str">
        <f aca="false">IF(AND(ISNUMBER(SEARCH(" MFA "," "&amp;SUBSTITUTE($I292,","," ")&amp;" ")),ISNUMBER($L292)),$L292,"")</f>
        <v/>
      </c>
      <c r="AH292" s="16" t="str">
        <f aca="false">IF(AND(ISNUMBER(SEARCH(" RAP "," "&amp;SUBSTITUTE($I292,","," ")&amp;" ")),ISNUMBER($L292)),$L292,"")</f>
        <v/>
      </c>
      <c r="AI292" s="16" t="str">
        <f aca="false">IF(AND(ISNUMBER(SEARCH(" AC "," "&amp;SUBSTITUTE($I292,","," ")&amp;" ")),ISNUMBER($L292)),$L292,"")</f>
        <v/>
      </c>
      <c r="AJ292" s="16" t="str">
        <f aca="false">IF(AND(ISNUMBER(SEARCH(" MAC "," "&amp;SUBSTITUTE($I292,","," ")&amp;" ")),ISNUMBER($L292)),$L292,"")</f>
        <v/>
      </c>
      <c r="AK292" s="16" t="str">
        <f aca="false">IF(AND(ISNUMBER(SEARCH(" UAH "," "&amp;SUBSTITUTE($I292,","," ")&amp;" ")),ISNUMBER($L292)),$L292,"")</f>
        <v/>
      </c>
      <c r="AL292" s="16" t="str">
        <f aca="false">IF(AND(ISNUMBER(SEARCH(" RB "," "&amp;SUBSTITUTE($I292,","," ")&amp;" ")),ISNUMBER($L292)),$L292,"")</f>
        <v/>
      </c>
    </row>
    <row r="293" customFormat="false" ht="15" hidden="false" customHeight="false" outlineLevel="0" collapsed="false">
      <c r="M293" s="13" t="str">
        <f aca="false">IF(ISNUMBER(L293),IF(L293&lt;K293,"Gap","OK"),IF(L293="N/A","N/A",""))</f>
        <v/>
      </c>
      <c r="P293" s="13" t="str">
        <f aca="false">IF(AND(M293="Gap",N293&lt;&gt;"",O293&lt;&gt;""),VLOOKUP(N293&amp;O293,Lists!$H$4:$I$12,2,FALSE()),"")</f>
        <v/>
      </c>
      <c r="Q293" s="13" t="str">
        <f aca="false">IF(AND(M293="Gap",O293="S",OR(N293="H",N293="M")),"Yes","")</f>
        <v/>
      </c>
      <c r="S293" s="14" t="str">
        <f aca="false">IF(A293="","",IFERROR(IF(OR(VLOOKUP(A293,AutoEvidence!$A$2:$G$400,2,FALSE())="Collected",VLOOKUP(A293,AutoEvidence!$A$2:$G$400,2,FALSE())="Partial"),VLOOKUP(A293,AutoEvidence!$A$2:$G$400,3,FALSE())&amp;" ("&amp;VLOOKUP(A293,AutoEvidence!$A$2:$G$400,2,FALSE())&amp;")",VLOOKUP(A293,AutoEvidence!$A$2:$G$400,2,FALSE())),""))</f>
        <v/>
      </c>
      <c r="T293" s="7" t="str">
        <f aca="false">IF(A293="","",IFERROR(VLOOKUP(A293,AutoEvidence!$A$2:$G$400,4,FALSE())&amp;"",""))</f>
        <v/>
      </c>
      <c r="AB293" s="13" t="str">
        <f aca="false">IF(M293="Gap",1,IF(M293="OK",0,""))</f>
        <v/>
      </c>
      <c r="AC293" s="16" t="str">
        <f aca="false">IF(P293&lt;&gt;"",VALUE(RIGHT(P293,1))*1000+ROW(),"")</f>
        <v/>
      </c>
      <c r="AD293" s="16" t="str">
        <f aca="false">IF(ISNUMBER(L293),MIN(L293,K293),"")</f>
        <v/>
      </c>
      <c r="AE293" s="16" t="str">
        <f aca="false">IF(AND(ISNUMBER(SEARCH(" PA "," "&amp;SUBSTITUTE($I293,","," ")&amp;" ")),ISNUMBER($L293)),$L293,"")</f>
        <v/>
      </c>
      <c r="AF293" s="16" t="str">
        <f aca="false">IF(AND(ISNUMBER(SEARCH(" PO "," "&amp;SUBSTITUTE($I293,","," ")&amp;" ")),ISNUMBER($L293)),$L293,"")</f>
        <v/>
      </c>
      <c r="AG293" s="16" t="str">
        <f aca="false">IF(AND(ISNUMBER(SEARCH(" MFA "," "&amp;SUBSTITUTE($I293,","," ")&amp;" ")),ISNUMBER($L293)),$L293,"")</f>
        <v/>
      </c>
      <c r="AH293" s="16" t="str">
        <f aca="false">IF(AND(ISNUMBER(SEARCH(" RAP "," "&amp;SUBSTITUTE($I293,","," ")&amp;" ")),ISNUMBER($L293)),$L293,"")</f>
        <v/>
      </c>
      <c r="AI293" s="16" t="str">
        <f aca="false">IF(AND(ISNUMBER(SEARCH(" AC "," "&amp;SUBSTITUTE($I293,","," ")&amp;" ")),ISNUMBER($L293)),$L293,"")</f>
        <v/>
      </c>
      <c r="AJ293" s="16" t="str">
        <f aca="false">IF(AND(ISNUMBER(SEARCH(" MAC "," "&amp;SUBSTITUTE($I293,","," ")&amp;" ")),ISNUMBER($L293)),$L293,"")</f>
        <v/>
      </c>
      <c r="AK293" s="16" t="str">
        <f aca="false">IF(AND(ISNUMBER(SEARCH(" UAH "," "&amp;SUBSTITUTE($I293,","," ")&amp;" ")),ISNUMBER($L293)),$L293,"")</f>
        <v/>
      </c>
      <c r="AL293" s="16" t="str">
        <f aca="false">IF(AND(ISNUMBER(SEARCH(" RB "," "&amp;SUBSTITUTE($I293,","," ")&amp;" ")),ISNUMBER($L293)),$L293,"")</f>
        <v/>
      </c>
    </row>
    <row r="294" customFormat="false" ht="15" hidden="false" customHeight="false" outlineLevel="0" collapsed="false">
      <c r="M294" s="13" t="str">
        <f aca="false">IF(ISNUMBER(L294),IF(L294&lt;K294,"Gap","OK"),IF(L294="N/A","N/A",""))</f>
        <v/>
      </c>
      <c r="P294" s="13" t="str">
        <f aca="false">IF(AND(M294="Gap",N294&lt;&gt;"",O294&lt;&gt;""),VLOOKUP(N294&amp;O294,Lists!$H$4:$I$12,2,FALSE()),"")</f>
        <v/>
      </c>
      <c r="Q294" s="13" t="str">
        <f aca="false">IF(AND(M294="Gap",O294="S",OR(N294="H",N294="M")),"Yes","")</f>
        <v/>
      </c>
      <c r="S294" s="14" t="str">
        <f aca="false">IF(A294="","",IFERROR(IF(OR(VLOOKUP(A294,AutoEvidence!$A$2:$G$400,2,FALSE())="Collected",VLOOKUP(A294,AutoEvidence!$A$2:$G$400,2,FALSE())="Partial"),VLOOKUP(A294,AutoEvidence!$A$2:$G$400,3,FALSE())&amp;" ("&amp;VLOOKUP(A294,AutoEvidence!$A$2:$G$400,2,FALSE())&amp;")",VLOOKUP(A294,AutoEvidence!$A$2:$G$400,2,FALSE())),""))</f>
        <v/>
      </c>
      <c r="T294" s="7" t="str">
        <f aca="false">IF(A294="","",IFERROR(VLOOKUP(A294,AutoEvidence!$A$2:$G$400,4,FALSE())&amp;"",""))</f>
        <v/>
      </c>
      <c r="AB294" s="13" t="str">
        <f aca="false">IF(M294="Gap",1,IF(M294="OK",0,""))</f>
        <v/>
      </c>
      <c r="AC294" s="16" t="str">
        <f aca="false">IF(P294&lt;&gt;"",VALUE(RIGHT(P294,1))*1000+ROW(),"")</f>
        <v/>
      </c>
      <c r="AD294" s="16" t="str">
        <f aca="false">IF(ISNUMBER(L294),MIN(L294,K294),"")</f>
        <v/>
      </c>
      <c r="AE294" s="16" t="str">
        <f aca="false">IF(AND(ISNUMBER(SEARCH(" PA "," "&amp;SUBSTITUTE($I294,","," ")&amp;" ")),ISNUMBER($L294)),$L294,"")</f>
        <v/>
      </c>
      <c r="AF294" s="16" t="str">
        <f aca="false">IF(AND(ISNUMBER(SEARCH(" PO "," "&amp;SUBSTITUTE($I294,","," ")&amp;" ")),ISNUMBER($L294)),$L294,"")</f>
        <v/>
      </c>
      <c r="AG294" s="16" t="str">
        <f aca="false">IF(AND(ISNUMBER(SEARCH(" MFA "," "&amp;SUBSTITUTE($I294,","," ")&amp;" ")),ISNUMBER($L294)),$L294,"")</f>
        <v/>
      </c>
      <c r="AH294" s="16" t="str">
        <f aca="false">IF(AND(ISNUMBER(SEARCH(" RAP "," "&amp;SUBSTITUTE($I294,","," ")&amp;" ")),ISNUMBER($L294)),$L294,"")</f>
        <v/>
      </c>
      <c r="AI294" s="16" t="str">
        <f aca="false">IF(AND(ISNUMBER(SEARCH(" AC "," "&amp;SUBSTITUTE($I294,","," ")&amp;" ")),ISNUMBER($L294)),$L294,"")</f>
        <v/>
      </c>
      <c r="AJ294" s="16" t="str">
        <f aca="false">IF(AND(ISNUMBER(SEARCH(" MAC "," "&amp;SUBSTITUTE($I294,","," ")&amp;" ")),ISNUMBER($L294)),$L294,"")</f>
        <v/>
      </c>
      <c r="AK294" s="16" t="str">
        <f aca="false">IF(AND(ISNUMBER(SEARCH(" UAH "," "&amp;SUBSTITUTE($I294,","," ")&amp;" ")),ISNUMBER($L294)),$L294,"")</f>
        <v/>
      </c>
      <c r="AL294" s="16" t="str">
        <f aca="false">IF(AND(ISNUMBER(SEARCH(" RB "," "&amp;SUBSTITUTE($I294,","," ")&amp;" ")),ISNUMBER($L294)),$L294,"")</f>
        <v/>
      </c>
    </row>
    <row r="295" customFormat="false" ht="15" hidden="false" customHeight="false" outlineLevel="0" collapsed="false">
      <c r="M295" s="13" t="str">
        <f aca="false">IF(ISNUMBER(L295),IF(L295&lt;K295,"Gap","OK"),IF(L295="N/A","N/A",""))</f>
        <v/>
      </c>
      <c r="P295" s="13" t="str">
        <f aca="false">IF(AND(M295="Gap",N295&lt;&gt;"",O295&lt;&gt;""),VLOOKUP(N295&amp;O295,Lists!$H$4:$I$12,2,FALSE()),"")</f>
        <v/>
      </c>
      <c r="Q295" s="13" t="str">
        <f aca="false">IF(AND(M295="Gap",O295="S",OR(N295="H",N295="M")),"Yes","")</f>
        <v/>
      </c>
      <c r="S295" s="14" t="str">
        <f aca="false">IF(A295="","",IFERROR(IF(OR(VLOOKUP(A295,AutoEvidence!$A$2:$G$400,2,FALSE())="Collected",VLOOKUP(A295,AutoEvidence!$A$2:$G$400,2,FALSE())="Partial"),VLOOKUP(A295,AutoEvidence!$A$2:$G$400,3,FALSE())&amp;" ("&amp;VLOOKUP(A295,AutoEvidence!$A$2:$G$400,2,FALSE())&amp;")",VLOOKUP(A295,AutoEvidence!$A$2:$G$400,2,FALSE())),""))</f>
        <v/>
      </c>
      <c r="T295" s="7" t="str">
        <f aca="false">IF(A295="","",IFERROR(VLOOKUP(A295,AutoEvidence!$A$2:$G$400,4,FALSE())&amp;"",""))</f>
        <v/>
      </c>
      <c r="AB295" s="13" t="str">
        <f aca="false">IF(M295="Gap",1,IF(M295="OK",0,""))</f>
        <v/>
      </c>
      <c r="AC295" s="16" t="str">
        <f aca="false">IF(P295&lt;&gt;"",VALUE(RIGHT(P295,1))*1000+ROW(),"")</f>
        <v/>
      </c>
      <c r="AD295" s="16" t="str">
        <f aca="false">IF(ISNUMBER(L295),MIN(L295,K295),"")</f>
        <v/>
      </c>
      <c r="AE295" s="16" t="str">
        <f aca="false">IF(AND(ISNUMBER(SEARCH(" PA "," "&amp;SUBSTITUTE($I295,","," ")&amp;" ")),ISNUMBER($L295)),$L295,"")</f>
        <v/>
      </c>
      <c r="AF295" s="16" t="str">
        <f aca="false">IF(AND(ISNUMBER(SEARCH(" PO "," "&amp;SUBSTITUTE($I295,","," ")&amp;" ")),ISNUMBER($L295)),$L295,"")</f>
        <v/>
      </c>
      <c r="AG295" s="16" t="str">
        <f aca="false">IF(AND(ISNUMBER(SEARCH(" MFA "," "&amp;SUBSTITUTE($I295,","," ")&amp;" ")),ISNUMBER($L295)),$L295,"")</f>
        <v/>
      </c>
      <c r="AH295" s="16" t="str">
        <f aca="false">IF(AND(ISNUMBER(SEARCH(" RAP "," "&amp;SUBSTITUTE($I295,","," ")&amp;" ")),ISNUMBER($L295)),$L295,"")</f>
        <v/>
      </c>
      <c r="AI295" s="16" t="str">
        <f aca="false">IF(AND(ISNUMBER(SEARCH(" AC "," "&amp;SUBSTITUTE($I295,","," ")&amp;" ")),ISNUMBER($L295)),$L295,"")</f>
        <v/>
      </c>
      <c r="AJ295" s="16" t="str">
        <f aca="false">IF(AND(ISNUMBER(SEARCH(" MAC "," "&amp;SUBSTITUTE($I295,","," ")&amp;" ")),ISNUMBER($L295)),$L295,"")</f>
        <v/>
      </c>
      <c r="AK295" s="16" t="str">
        <f aca="false">IF(AND(ISNUMBER(SEARCH(" UAH "," "&amp;SUBSTITUTE($I295,","," ")&amp;" ")),ISNUMBER($L295)),$L295,"")</f>
        <v/>
      </c>
      <c r="AL295" s="16" t="str">
        <f aca="false">IF(AND(ISNUMBER(SEARCH(" RB "," "&amp;SUBSTITUTE($I295,","," ")&amp;" ")),ISNUMBER($L295)),$L295,"")</f>
        <v/>
      </c>
    </row>
    <row r="296" customFormat="false" ht="15" hidden="false" customHeight="false" outlineLevel="0" collapsed="false">
      <c r="M296" s="13" t="str">
        <f aca="false">IF(ISNUMBER(L296),IF(L296&lt;K296,"Gap","OK"),IF(L296="N/A","N/A",""))</f>
        <v/>
      </c>
      <c r="P296" s="13" t="str">
        <f aca="false">IF(AND(M296="Gap",N296&lt;&gt;"",O296&lt;&gt;""),VLOOKUP(N296&amp;O296,Lists!$H$4:$I$12,2,FALSE()),"")</f>
        <v/>
      </c>
      <c r="Q296" s="13" t="str">
        <f aca="false">IF(AND(M296="Gap",O296="S",OR(N296="H",N296="M")),"Yes","")</f>
        <v/>
      </c>
      <c r="S296" s="14" t="str">
        <f aca="false">IF(A296="","",IFERROR(IF(OR(VLOOKUP(A296,AutoEvidence!$A$2:$G$400,2,FALSE())="Collected",VLOOKUP(A296,AutoEvidence!$A$2:$G$400,2,FALSE())="Partial"),VLOOKUP(A296,AutoEvidence!$A$2:$G$400,3,FALSE())&amp;" ("&amp;VLOOKUP(A296,AutoEvidence!$A$2:$G$400,2,FALSE())&amp;")",VLOOKUP(A296,AutoEvidence!$A$2:$G$400,2,FALSE())),""))</f>
        <v/>
      </c>
      <c r="T296" s="7" t="str">
        <f aca="false">IF(A296="","",IFERROR(VLOOKUP(A296,AutoEvidence!$A$2:$G$400,4,FALSE())&amp;"",""))</f>
        <v/>
      </c>
      <c r="AB296" s="13" t="str">
        <f aca="false">IF(M296="Gap",1,IF(M296="OK",0,""))</f>
        <v/>
      </c>
      <c r="AC296" s="16" t="str">
        <f aca="false">IF(P296&lt;&gt;"",VALUE(RIGHT(P296,1))*1000+ROW(),"")</f>
        <v/>
      </c>
      <c r="AD296" s="16" t="str">
        <f aca="false">IF(ISNUMBER(L296),MIN(L296,K296),"")</f>
        <v/>
      </c>
      <c r="AE296" s="16" t="str">
        <f aca="false">IF(AND(ISNUMBER(SEARCH(" PA "," "&amp;SUBSTITUTE($I296,","," ")&amp;" ")),ISNUMBER($L296)),$L296,"")</f>
        <v/>
      </c>
      <c r="AF296" s="16" t="str">
        <f aca="false">IF(AND(ISNUMBER(SEARCH(" PO "," "&amp;SUBSTITUTE($I296,","," ")&amp;" ")),ISNUMBER($L296)),$L296,"")</f>
        <v/>
      </c>
      <c r="AG296" s="16" t="str">
        <f aca="false">IF(AND(ISNUMBER(SEARCH(" MFA "," "&amp;SUBSTITUTE($I296,","," ")&amp;" ")),ISNUMBER($L296)),$L296,"")</f>
        <v/>
      </c>
      <c r="AH296" s="16" t="str">
        <f aca="false">IF(AND(ISNUMBER(SEARCH(" RAP "," "&amp;SUBSTITUTE($I296,","," ")&amp;" ")),ISNUMBER($L296)),$L296,"")</f>
        <v/>
      </c>
      <c r="AI296" s="16" t="str">
        <f aca="false">IF(AND(ISNUMBER(SEARCH(" AC "," "&amp;SUBSTITUTE($I296,","," ")&amp;" ")),ISNUMBER($L296)),$L296,"")</f>
        <v/>
      </c>
      <c r="AJ296" s="16" t="str">
        <f aca="false">IF(AND(ISNUMBER(SEARCH(" MAC "," "&amp;SUBSTITUTE($I296,","," ")&amp;" ")),ISNUMBER($L296)),$L296,"")</f>
        <v/>
      </c>
      <c r="AK296" s="16" t="str">
        <f aca="false">IF(AND(ISNUMBER(SEARCH(" UAH "," "&amp;SUBSTITUTE($I296,","," ")&amp;" ")),ISNUMBER($L296)),$L296,"")</f>
        <v/>
      </c>
      <c r="AL296" s="16" t="str">
        <f aca="false">IF(AND(ISNUMBER(SEARCH(" RB "," "&amp;SUBSTITUTE($I296,","," ")&amp;" ")),ISNUMBER($L296)),$L296,"")</f>
        <v/>
      </c>
    </row>
    <row r="297" customFormat="false" ht="15" hidden="false" customHeight="false" outlineLevel="0" collapsed="false">
      <c r="M297" s="13" t="str">
        <f aca="false">IF(ISNUMBER(L297),IF(L297&lt;K297,"Gap","OK"),IF(L297="N/A","N/A",""))</f>
        <v/>
      </c>
      <c r="P297" s="13" t="str">
        <f aca="false">IF(AND(M297="Gap",N297&lt;&gt;"",O297&lt;&gt;""),VLOOKUP(N297&amp;O297,Lists!$H$4:$I$12,2,FALSE()),"")</f>
        <v/>
      </c>
      <c r="Q297" s="13" t="str">
        <f aca="false">IF(AND(M297="Gap",O297="S",OR(N297="H",N297="M")),"Yes","")</f>
        <v/>
      </c>
      <c r="S297" s="14" t="str">
        <f aca="false">IF(A297="","",IFERROR(IF(OR(VLOOKUP(A297,AutoEvidence!$A$2:$G$400,2,FALSE())="Collected",VLOOKUP(A297,AutoEvidence!$A$2:$G$400,2,FALSE())="Partial"),VLOOKUP(A297,AutoEvidence!$A$2:$G$400,3,FALSE())&amp;" ("&amp;VLOOKUP(A297,AutoEvidence!$A$2:$G$400,2,FALSE())&amp;")",VLOOKUP(A297,AutoEvidence!$A$2:$G$400,2,FALSE())),""))</f>
        <v/>
      </c>
      <c r="T297" s="7" t="str">
        <f aca="false">IF(A297="","",IFERROR(VLOOKUP(A297,AutoEvidence!$A$2:$G$400,4,FALSE())&amp;"",""))</f>
        <v/>
      </c>
      <c r="AB297" s="13" t="str">
        <f aca="false">IF(M297="Gap",1,IF(M297="OK",0,""))</f>
        <v/>
      </c>
      <c r="AC297" s="16" t="str">
        <f aca="false">IF(P297&lt;&gt;"",VALUE(RIGHT(P297,1))*1000+ROW(),"")</f>
        <v/>
      </c>
      <c r="AD297" s="16" t="str">
        <f aca="false">IF(ISNUMBER(L297),MIN(L297,K297),"")</f>
        <v/>
      </c>
      <c r="AE297" s="16" t="str">
        <f aca="false">IF(AND(ISNUMBER(SEARCH(" PA "," "&amp;SUBSTITUTE($I297,","," ")&amp;" ")),ISNUMBER($L297)),$L297,"")</f>
        <v/>
      </c>
      <c r="AF297" s="16" t="str">
        <f aca="false">IF(AND(ISNUMBER(SEARCH(" PO "," "&amp;SUBSTITUTE($I297,","," ")&amp;" ")),ISNUMBER($L297)),$L297,"")</f>
        <v/>
      </c>
      <c r="AG297" s="16" t="str">
        <f aca="false">IF(AND(ISNUMBER(SEARCH(" MFA "," "&amp;SUBSTITUTE($I297,","," ")&amp;" ")),ISNUMBER($L297)),$L297,"")</f>
        <v/>
      </c>
      <c r="AH297" s="16" t="str">
        <f aca="false">IF(AND(ISNUMBER(SEARCH(" RAP "," "&amp;SUBSTITUTE($I297,","," ")&amp;" ")),ISNUMBER($L297)),$L297,"")</f>
        <v/>
      </c>
      <c r="AI297" s="16" t="str">
        <f aca="false">IF(AND(ISNUMBER(SEARCH(" AC "," "&amp;SUBSTITUTE($I297,","," ")&amp;" ")),ISNUMBER($L297)),$L297,"")</f>
        <v/>
      </c>
      <c r="AJ297" s="16" t="str">
        <f aca="false">IF(AND(ISNUMBER(SEARCH(" MAC "," "&amp;SUBSTITUTE($I297,","," ")&amp;" ")),ISNUMBER($L297)),$L297,"")</f>
        <v/>
      </c>
      <c r="AK297" s="16" t="str">
        <f aca="false">IF(AND(ISNUMBER(SEARCH(" UAH "," "&amp;SUBSTITUTE($I297,","," ")&amp;" ")),ISNUMBER($L297)),$L297,"")</f>
        <v/>
      </c>
      <c r="AL297" s="16" t="str">
        <f aca="false">IF(AND(ISNUMBER(SEARCH(" RB "," "&amp;SUBSTITUTE($I297,","," ")&amp;" ")),ISNUMBER($L297)),$L297,"")</f>
        <v/>
      </c>
    </row>
    <row r="298" customFormat="false" ht="15" hidden="false" customHeight="false" outlineLevel="0" collapsed="false">
      <c r="M298" s="13" t="str">
        <f aca="false">IF(ISNUMBER(L298),IF(L298&lt;K298,"Gap","OK"),IF(L298="N/A","N/A",""))</f>
        <v/>
      </c>
      <c r="P298" s="13" t="str">
        <f aca="false">IF(AND(M298="Gap",N298&lt;&gt;"",O298&lt;&gt;""),VLOOKUP(N298&amp;O298,Lists!$H$4:$I$12,2,FALSE()),"")</f>
        <v/>
      </c>
      <c r="Q298" s="13" t="str">
        <f aca="false">IF(AND(M298="Gap",O298="S",OR(N298="H",N298="M")),"Yes","")</f>
        <v/>
      </c>
      <c r="S298" s="14" t="str">
        <f aca="false">IF(A298="","",IFERROR(IF(OR(VLOOKUP(A298,AutoEvidence!$A$2:$G$400,2,FALSE())="Collected",VLOOKUP(A298,AutoEvidence!$A$2:$G$400,2,FALSE())="Partial"),VLOOKUP(A298,AutoEvidence!$A$2:$G$400,3,FALSE())&amp;" ("&amp;VLOOKUP(A298,AutoEvidence!$A$2:$G$400,2,FALSE())&amp;")",VLOOKUP(A298,AutoEvidence!$A$2:$G$400,2,FALSE())),""))</f>
        <v/>
      </c>
      <c r="T298" s="7" t="str">
        <f aca="false">IF(A298="","",IFERROR(VLOOKUP(A298,AutoEvidence!$A$2:$G$400,4,FALSE())&amp;"",""))</f>
        <v/>
      </c>
      <c r="AB298" s="13" t="str">
        <f aca="false">IF(M298="Gap",1,IF(M298="OK",0,""))</f>
        <v/>
      </c>
      <c r="AC298" s="16" t="str">
        <f aca="false">IF(P298&lt;&gt;"",VALUE(RIGHT(P298,1))*1000+ROW(),"")</f>
        <v/>
      </c>
      <c r="AD298" s="16" t="str">
        <f aca="false">IF(ISNUMBER(L298),MIN(L298,K298),"")</f>
        <v/>
      </c>
      <c r="AE298" s="16" t="str">
        <f aca="false">IF(AND(ISNUMBER(SEARCH(" PA "," "&amp;SUBSTITUTE($I298,","," ")&amp;" ")),ISNUMBER($L298)),$L298,"")</f>
        <v/>
      </c>
      <c r="AF298" s="16" t="str">
        <f aca="false">IF(AND(ISNUMBER(SEARCH(" PO "," "&amp;SUBSTITUTE($I298,","," ")&amp;" ")),ISNUMBER($L298)),$L298,"")</f>
        <v/>
      </c>
      <c r="AG298" s="16" t="str">
        <f aca="false">IF(AND(ISNUMBER(SEARCH(" MFA "," "&amp;SUBSTITUTE($I298,","," ")&amp;" ")),ISNUMBER($L298)),$L298,"")</f>
        <v/>
      </c>
      <c r="AH298" s="16" t="str">
        <f aca="false">IF(AND(ISNUMBER(SEARCH(" RAP "," "&amp;SUBSTITUTE($I298,","," ")&amp;" ")),ISNUMBER($L298)),$L298,"")</f>
        <v/>
      </c>
      <c r="AI298" s="16" t="str">
        <f aca="false">IF(AND(ISNUMBER(SEARCH(" AC "," "&amp;SUBSTITUTE($I298,","," ")&amp;" ")),ISNUMBER($L298)),$L298,"")</f>
        <v/>
      </c>
      <c r="AJ298" s="16" t="str">
        <f aca="false">IF(AND(ISNUMBER(SEARCH(" MAC "," "&amp;SUBSTITUTE($I298,","," ")&amp;" ")),ISNUMBER($L298)),$L298,"")</f>
        <v/>
      </c>
      <c r="AK298" s="16" t="str">
        <f aca="false">IF(AND(ISNUMBER(SEARCH(" UAH "," "&amp;SUBSTITUTE($I298,","," ")&amp;" ")),ISNUMBER($L298)),$L298,"")</f>
        <v/>
      </c>
      <c r="AL298" s="16" t="str">
        <f aca="false">IF(AND(ISNUMBER(SEARCH(" RB "," "&amp;SUBSTITUTE($I298,","," ")&amp;" ")),ISNUMBER($L298)),$L298,"")</f>
        <v/>
      </c>
    </row>
    <row r="299" customFormat="false" ht="15" hidden="false" customHeight="false" outlineLevel="0" collapsed="false">
      <c r="M299" s="13" t="str">
        <f aca="false">IF(ISNUMBER(L299),IF(L299&lt;K299,"Gap","OK"),IF(L299="N/A","N/A",""))</f>
        <v/>
      </c>
      <c r="P299" s="13" t="str">
        <f aca="false">IF(AND(M299="Gap",N299&lt;&gt;"",O299&lt;&gt;""),VLOOKUP(N299&amp;O299,Lists!$H$4:$I$12,2,FALSE()),"")</f>
        <v/>
      </c>
      <c r="Q299" s="13" t="str">
        <f aca="false">IF(AND(M299="Gap",O299="S",OR(N299="H",N299="M")),"Yes","")</f>
        <v/>
      </c>
      <c r="S299" s="14" t="str">
        <f aca="false">IF(A299="","",IFERROR(IF(OR(VLOOKUP(A299,AutoEvidence!$A$2:$G$400,2,FALSE())="Collected",VLOOKUP(A299,AutoEvidence!$A$2:$G$400,2,FALSE())="Partial"),VLOOKUP(A299,AutoEvidence!$A$2:$G$400,3,FALSE())&amp;" ("&amp;VLOOKUP(A299,AutoEvidence!$A$2:$G$400,2,FALSE())&amp;")",VLOOKUP(A299,AutoEvidence!$A$2:$G$400,2,FALSE())),""))</f>
        <v/>
      </c>
      <c r="T299" s="7" t="str">
        <f aca="false">IF(A299="","",IFERROR(VLOOKUP(A299,AutoEvidence!$A$2:$G$400,4,FALSE())&amp;"",""))</f>
        <v/>
      </c>
      <c r="AB299" s="13" t="str">
        <f aca="false">IF(M299="Gap",1,IF(M299="OK",0,""))</f>
        <v/>
      </c>
      <c r="AC299" s="16" t="str">
        <f aca="false">IF(P299&lt;&gt;"",VALUE(RIGHT(P299,1))*1000+ROW(),"")</f>
        <v/>
      </c>
      <c r="AD299" s="16" t="str">
        <f aca="false">IF(ISNUMBER(L299),MIN(L299,K299),"")</f>
        <v/>
      </c>
      <c r="AE299" s="16" t="str">
        <f aca="false">IF(AND(ISNUMBER(SEARCH(" PA "," "&amp;SUBSTITUTE($I299,","," ")&amp;" ")),ISNUMBER($L299)),$L299,"")</f>
        <v/>
      </c>
      <c r="AF299" s="16" t="str">
        <f aca="false">IF(AND(ISNUMBER(SEARCH(" PO "," "&amp;SUBSTITUTE($I299,","," ")&amp;" ")),ISNUMBER($L299)),$L299,"")</f>
        <v/>
      </c>
      <c r="AG299" s="16" t="str">
        <f aca="false">IF(AND(ISNUMBER(SEARCH(" MFA "," "&amp;SUBSTITUTE($I299,","," ")&amp;" ")),ISNUMBER($L299)),$L299,"")</f>
        <v/>
      </c>
      <c r="AH299" s="16" t="str">
        <f aca="false">IF(AND(ISNUMBER(SEARCH(" RAP "," "&amp;SUBSTITUTE($I299,","," ")&amp;" ")),ISNUMBER($L299)),$L299,"")</f>
        <v/>
      </c>
      <c r="AI299" s="16" t="str">
        <f aca="false">IF(AND(ISNUMBER(SEARCH(" AC "," "&amp;SUBSTITUTE($I299,","," ")&amp;" ")),ISNUMBER($L299)),$L299,"")</f>
        <v/>
      </c>
      <c r="AJ299" s="16" t="str">
        <f aca="false">IF(AND(ISNUMBER(SEARCH(" MAC "," "&amp;SUBSTITUTE($I299,","," ")&amp;" ")),ISNUMBER($L299)),$L299,"")</f>
        <v/>
      </c>
      <c r="AK299" s="16" t="str">
        <f aca="false">IF(AND(ISNUMBER(SEARCH(" UAH "," "&amp;SUBSTITUTE($I299,","," ")&amp;" ")),ISNUMBER($L299)),$L299,"")</f>
        <v/>
      </c>
      <c r="AL299" s="16" t="str">
        <f aca="false">IF(AND(ISNUMBER(SEARCH(" RB "," "&amp;SUBSTITUTE($I299,","," ")&amp;" ")),ISNUMBER($L299)),$L299,"")</f>
        <v/>
      </c>
    </row>
    <row r="300" customFormat="false" ht="15" hidden="false" customHeight="false" outlineLevel="0" collapsed="false">
      <c r="M300" s="13" t="str">
        <f aca="false">IF(ISNUMBER(L300),IF(L300&lt;K300,"Gap","OK"),IF(L300="N/A","N/A",""))</f>
        <v/>
      </c>
      <c r="P300" s="13" t="str">
        <f aca="false">IF(AND(M300="Gap",N300&lt;&gt;"",O300&lt;&gt;""),VLOOKUP(N300&amp;O300,Lists!$H$4:$I$12,2,FALSE()),"")</f>
        <v/>
      </c>
      <c r="Q300" s="13" t="str">
        <f aca="false">IF(AND(M300="Gap",O300="S",OR(N300="H",N300="M")),"Yes","")</f>
        <v/>
      </c>
      <c r="S300" s="14" t="str">
        <f aca="false">IF(A300="","",IFERROR(IF(OR(VLOOKUP(A300,AutoEvidence!$A$2:$G$400,2,FALSE())="Collected",VLOOKUP(A300,AutoEvidence!$A$2:$G$400,2,FALSE())="Partial"),VLOOKUP(A300,AutoEvidence!$A$2:$G$400,3,FALSE())&amp;" ("&amp;VLOOKUP(A300,AutoEvidence!$A$2:$G$400,2,FALSE())&amp;")",VLOOKUP(A300,AutoEvidence!$A$2:$G$400,2,FALSE())),""))</f>
        <v/>
      </c>
      <c r="T300" s="7" t="str">
        <f aca="false">IF(A300="","",IFERROR(VLOOKUP(A300,AutoEvidence!$A$2:$G$400,4,FALSE())&amp;"",""))</f>
        <v/>
      </c>
      <c r="AB300" s="13" t="str">
        <f aca="false">IF(M300="Gap",1,IF(M300="OK",0,""))</f>
        <v/>
      </c>
      <c r="AC300" s="16" t="str">
        <f aca="false">IF(P300&lt;&gt;"",VALUE(RIGHT(P300,1))*1000+ROW(),"")</f>
        <v/>
      </c>
      <c r="AD300" s="16" t="str">
        <f aca="false">IF(ISNUMBER(L300),MIN(L300,K300),"")</f>
        <v/>
      </c>
      <c r="AE300" s="16" t="str">
        <f aca="false">IF(AND(ISNUMBER(SEARCH(" PA "," "&amp;SUBSTITUTE($I300,","," ")&amp;" ")),ISNUMBER($L300)),$L300,"")</f>
        <v/>
      </c>
      <c r="AF300" s="16" t="str">
        <f aca="false">IF(AND(ISNUMBER(SEARCH(" PO "," "&amp;SUBSTITUTE($I300,","," ")&amp;" ")),ISNUMBER($L300)),$L300,"")</f>
        <v/>
      </c>
      <c r="AG300" s="16" t="str">
        <f aca="false">IF(AND(ISNUMBER(SEARCH(" MFA "," "&amp;SUBSTITUTE($I300,","," ")&amp;" ")),ISNUMBER($L300)),$L300,"")</f>
        <v/>
      </c>
      <c r="AH300" s="16" t="str">
        <f aca="false">IF(AND(ISNUMBER(SEARCH(" RAP "," "&amp;SUBSTITUTE($I300,","," ")&amp;" ")),ISNUMBER($L300)),$L300,"")</f>
        <v/>
      </c>
      <c r="AI300" s="16" t="str">
        <f aca="false">IF(AND(ISNUMBER(SEARCH(" AC "," "&amp;SUBSTITUTE($I300,","," ")&amp;" ")),ISNUMBER($L300)),$L300,"")</f>
        <v/>
      </c>
      <c r="AJ300" s="16" t="str">
        <f aca="false">IF(AND(ISNUMBER(SEARCH(" MAC "," "&amp;SUBSTITUTE($I300,","," ")&amp;" ")),ISNUMBER($L300)),$L300,"")</f>
        <v/>
      </c>
      <c r="AK300" s="16" t="str">
        <f aca="false">IF(AND(ISNUMBER(SEARCH(" UAH "," "&amp;SUBSTITUTE($I300,","," ")&amp;" ")),ISNUMBER($L300)),$L300,"")</f>
        <v/>
      </c>
      <c r="AL300" s="16" t="str">
        <f aca="false">IF(AND(ISNUMBER(SEARCH(" RB "," "&amp;SUBSTITUTE($I300,","," ")&amp;" ")),ISNUMBER($L300)),$L300,"")</f>
        <v/>
      </c>
    </row>
    <row r="301" customFormat="false" ht="15" hidden="false" customHeight="false" outlineLevel="0" collapsed="false">
      <c r="M301" s="13" t="str">
        <f aca="false">IF(ISNUMBER(L301),IF(L301&lt;K301,"Gap","OK"),IF(L301="N/A","N/A",""))</f>
        <v/>
      </c>
      <c r="P301" s="13" t="str">
        <f aca="false">IF(AND(M301="Gap",N301&lt;&gt;"",O301&lt;&gt;""),VLOOKUP(N301&amp;O301,Lists!$H$4:$I$12,2,FALSE()),"")</f>
        <v/>
      </c>
      <c r="Q301" s="13" t="str">
        <f aca="false">IF(AND(M301="Gap",O301="S",OR(N301="H",N301="M")),"Yes","")</f>
        <v/>
      </c>
      <c r="S301" s="14" t="str">
        <f aca="false">IF(A301="","",IFERROR(IF(OR(VLOOKUP(A301,AutoEvidence!$A$2:$G$400,2,FALSE())="Collected",VLOOKUP(A301,AutoEvidence!$A$2:$G$400,2,FALSE())="Partial"),VLOOKUP(A301,AutoEvidence!$A$2:$G$400,3,FALSE())&amp;" ("&amp;VLOOKUP(A301,AutoEvidence!$A$2:$G$400,2,FALSE())&amp;")",VLOOKUP(A301,AutoEvidence!$A$2:$G$400,2,FALSE())),""))</f>
        <v/>
      </c>
      <c r="T301" s="7" t="str">
        <f aca="false">IF(A301="","",IFERROR(VLOOKUP(A301,AutoEvidence!$A$2:$G$400,4,FALSE())&amp;"",""))</f>
        <v/>
      </c>
      <c r="AB301" s="13" t="str">
        <f aca="false">IF(M301="Gap",1,IF(M301="OK",0,""))</f>
        <v/>
      </c>
      <c r="AC301" s="16" t="str">
        <f aca="false">IF(P301&lt;&gt;"",VALUE(RIGHT(P301,1))*1000+ROW(),"")</f>
        <v/>
      </c>
      <c r="AD301" s="16" t="str">
        <f aca="false">IF(ISNUMBER(L301),MIN(L301,K301),"")</f>
        <v/>
      </c>
      <c r="AE301" s="16" t="str">
        <f aca="false">IF(AND(ISNUMBER(SEARCH(" PA "," "&amp;SUBSTITUTE($I301,","," ")&amp;" ")),ISNUMBER($L301)),$L301,"")</f>
        <v/>
      </c>
      <c r="AF301" s="16" t="str">
        <f aca="false">IF(AND(ISNUMBER(SEARCH(" PO "," "&amp;SUBSTITUTE($I301,","," ")&amp;" ")),ISNUMBER($L301)),$L301,"")</f>
        <v/>
      </c>
      <c r="AG301" s="16" t="str">
        <f aca="false">IF(AND(ISNUMBER(SEARCH(" MFA "," "&amp;SUBSTITUTE($I301,","," ")&amp;" ")),ISNUMBER($L301)),$L301,"")</f>
        <v/>
      </c>
      <c r="AH301" s="16" t="str">
        <f aca="false">IF(AND(ISNUMBER(SEARCH(" RAP "," "&amp;SUBSTITUTE($I301,","," ")&amp;" ")),ISNUMBER($L301)),$L301,"")</f>
        <v/>
      </c>
      <c r="AI301" s="16" t="str">
        <f aca="false">IF(AND(ISNUMBER(SEARCH(" AC "," "&amp;SUBSTITUTE($I301,","," ")&amp;" ")),ISNUMBER($L301)),$L301,"")</f>
        <v/>
      </c>
      <c r="AJ301" s="16" t="str">
        <f aca="false">IF(AND(ISNUMBER(SEARCH(" MAC "," "&amp;SUBSTITUTE($I301,","," ")&amp;" ")),ISNUMBER($L301)),$L301,"")</f>
        <v/>
      </c>
      <c r="AK301" s="16" t="str">
        <f aca="false">IF(AND(ISNUMBER(SEARCH(" UAH "," "&amp;SUBSTITUTE($I301,","," ")&amp;" ")),ISNUMBER($L301)),$L301,"")</f>
        <v/>
      </c>
      <c r="AL301" s="16" t="str">
        <f aca="false">IF(AND(ISNUMBER(SEARCH(" RB "," "&amp;SUBSTITUTE($I301,","," ")&amp;" ")),ISNUMBER($L301)),$L301,"")</f>
        <v/>
      </c>
    </row>
  </sheetData>
  <autoFilter ref="A4:AL129"/>
  <mergeCells count="1">
    <mergeCell ref="A2:T2"/>
  </mergeCells>
  <conditionalFormatting sqref="L5:L301">
    <cfRule type="expression" priority="2" aboveAverage="0" equalAverage="0" bottom="0" percent="0" rank="0" text="" dxfId="8">
      <formula>AND(ISNUMBER(L5),L5=0)</formula>
    </cfRule>
    <cfRule type="cellIs" priority="3" operator="equal" aboveAverage="0" equalAverage="0" bottom="0" percent="0" rank="0" text="" dxfId="9">
      <formula>1</formula>
    </cfRule>
    <cfRule type="cellIs" priority="4" operator="equal" aboveAverage="0" equalAverage="0" bottom="0" percent="0" rank="0" text="" dxfId="10">
      <formula>2</formula>
    </cfRule>
    <cfRule type="cellIs" priority="5" operator="equal" aboveAverage="0" equalAverage="0" bottom="0" percent="0" rank="0" text="" dxfId="11">
      <formula>3</formula>
    </cfRule>
    <cfRule type="expression" priority="6" aboveAverage="0" equalAverage="0" bottom="0" percent="0" rank="0" text="" dxfId="12">
      <formula>L5="N/A"</formula>
    </cfRule>
  </conditionalFormatting>
  <conditionalFormatting sqref="M5:M301">
    <cfRule type="expression" priority="7" aboveAverage="0" equalAverage="0" bottom="0" percent="0" rank="0" text="" dxfId="13">
      <formula>M5="Gap"</formula>
    </cfRule>
  </conditionalFormatting>
  <conditionalFormatting sqref="P5:P301">
    <cfRule type="expression" priority="8" aboveAverage="0" equalAverage="0" bottom="0" percent="0" rank="0" text="" dxfId="13">
      <formula>P5="P1"</formula>
    </cfRule>
    <cfRule type="expression" priority="9" aboveAverage="0" equalAverage="0" bottom="0" percent="0" rank="0" text="" dxfId="9">
      <formula>P5="P2"</formula>
    </cfRule>
  </conditionalFormatting>
  <conditionalFormatting sqref="Q5:Q301">
    <cfRule type="expression" priority="10" aboveAverage="0" equalAverage="0" bottom="0" percent="0" rank="0" text="" dxfId="14">
      <formula>Q5="Yes"</formula>
    </cfRule>
  </conditionalFormatting>
  <conditionalFormatting sqref="N5:O301">
    <cfRule type="expression" priority="11" aboveAverage="0" equalAverage="0" bottom="0" percent="0" rank="0" text="" dxfId="15">
      <formula>AND($M5="Gap",N5="")</formula>
    </cfRule>
  </conditionalFormatting>
  <conditionalFormatting sqref="S5:S301">
    <cfRule type="expression" priority="12" aboveAverage="0" equalAverage="0" bottom="0" percent="0" rank="0" text="" dxfId="13">
      <formula>LEFT(S5,9)="Attention"</formula>
    </cfRule>
    <cfRule type="expression" priority="13" aboveAverage="0" equalAverage="0" bottom="0" percent="0" rank="0" text="" dxfId="10">
      <formula>LEFT(S5,2)="OK"</formula>
    </cfRule>
    <cfRule type="expression" priority="14" aboveAverage="0" equalAverage="0" bottom="0" percent="0" rank="0" text="" dxfId="16">
      <formula>OR(S5="Manual",LEFT(S5,3)="Not")</formula>
    </cfRule>
  </conditionalFormatting>
  <dataValidations count="9">
    <dataValidation allowBlank="true" error="Use 0, 1, 2, 3 or N/A" errorStyle="stop" errorTitle="Score" operator="between" showDropDown="false" showErrorMessage="true" showInputMessage="false" sqref="L5:L301" type="list">
      <formula1>Lists!$A$4:$A$8</formula1>
      <formula2>0</formula2>
    </dataValidation>
    <dataValidation allowBlank="true" errorStyle="stop" operator="between" showDropDown="false" showErrorMessage="false" showInputMessage="false" sqref="N5:N301" type="list">
      <formula1>Lists!$B$4:$B$6</formula1>
      <formula2>0</formula2>
    </dataValidation>
    <dataValidation allowBlank="true" errorStyle="stop" operator="between" showDropDown="false" showErrorMessage="false" showInputMessage="false" sqref="O5:O301" type="list">
      <formula1>Lists!$C$4:$C$6</formula1>
      <formula2>0</formula2>
    </dataValidation>
    <dataValidation allowBlank="true" errorStyle="stop" operator="between" showDropDown="false" showErrorMessage="false" showInputMessage="false" sqref="R5:R301" type="list">
      <formula1>Lists!$D$4:$D$7</formula1>
      <formula2>0</formula2>
    </dataValidation>
    <dataValidation allowBlank="true" errorStyle="stop" operator="between" showDropDown="false" showErrorMessage="false" showInputMessage="false" sqref="W5:W301" type="list">
      <formula1>Lists!$E$4:$E$7</formula1>
      <formula2>0</formula2>
    </dataValidation>
    <dataValidation allowBlank="true" errorStyle="stop" operator="between" showDropDown="false" showErrorMessage="false" showInputMessage="false" sqref="X5:X301" type="list">
      <formula1>Lists!$F$4:$F$12</formula1>
      <formula2>0</formula2>
    </dataValidation>
    <dataValidation allowBlank="true" errorStyle="stop" operator="between" showDropDown="false" showErrorMessage="false" showInputMessage="false" sqref="Z5:Z301" type="list">
      <formula1>Lists!$G$4:$G$7</formula1>
      <formula2>0</formula2>
    </dataValidation>
    <dataValidation allowBlank="true" errorStyle="stop" operator="between" showDropDown="false" showErrorMessage="false" showInputMessage="false" sqref="K5:K301" type="whole">
      <formula1>0</formula1>
      <formula2>3</formula2>
    </dataValidation>
    <dataValidation allowBlank="true" errorStyle="stop" operator="greaterThan" showDropDown="false" showErrorMessage="false" showInputMessage="false" sqref="AA5:AA301" type="date">
      <formula1>40000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5" min="3" style="0" width="9"/>
    <col collapsed="false" customWidth="true" hidden="false" outlineLevel="0" max="7" min="6" style="0" width="10"/>
    <col collapsed="false" customWidth="true" hidden="false" outlineLevel="0" max="8" min="8" style="0" width="9"/>
    <col collapsed="false" customWidth="true" hidden="false" outlineLevel="0" max="9" min="9" style="0" width="11"/>
    <col collapsed="false" customWidth="true" hidden="false" outlineLevel="0" max="10" min="10" style="0" width="12"/>
    <col collapsed="false" customWidth="true" hidden="false" outlineLevel="0" max="11" min="11" style="0" width="7"/>
    <col collapsed="false" customWidth="true" hidden="false" outlineLevel="0" max="13" min="12" style="0" width="6"/>
    <col collapsed="false" customWidth="true" hidden="false" outlineLevel="0" max="14" min="14" style="0" width="9"/>
    <col collapsed="false" customWidth="true" hidden="false" outlineLevel="0" max="15" min="15" style="0" width="4"/>
    <col collapsed="false" customWidth="true" hidden="false" outlineLevel="0" max="16" min="16" style="0" width="30"/>
    <col collapsed="false" customWidth="true" hidden="false" outlineLevel="0" max="17" min="17" style="0" width="12"/>
  </cols>
  <sheetData>
    <row r="1" customFormat="false" ht="19.7" hidden="false" customHeight="false" outlineLevel="0" collapsed="false">
      <c r="A1" s="1" t="s">
        <v>956</v>
      </c>
    </row>
    <row r="2" customFormat="false" ht="15" hidden="false" customHeight="false" outlineLevel="0" collapsed="false">
      <c r="A2" s="3" t="str">
        <f aca="false">"Client: "&amp;Client!C5&amp;"  |  "&amp;Client!C6&amp;"  |  Review date: "&amp;IF(ISNUMBER(Client!C12),TEXT(Client!C12,"DD/MM/YYYY"),"")&amp;"  |  Type: "&amp;Client!C13</f>
        <v>Client: C-0XX  |    |  Review date: 05/09/2026  |  Type: Baseline</v>
      </c>
    </row>
    <row r="3" customFormat="false" ht="15" hidden="false" customHeight="false" outlineLevel="0" collapsed="false">
      <c r="A3" s="2" t="s">
        <v>957</v>
      </c>
    </row>
    <row r="5" customFormat="false" ht="30" hidden="false" customHeight="true" outlineLevel="0" collapsed="false">
      <c r="A5" s="8" t="s">
        <v>958</v>
      </c>
      <c r="B5" s="8" t="s">
        <v>86</v>
      </c>
      <c r="C5" s="8" t="s">
        <v>959</v>
      </c>
      <c r="D5" s="8" t="s">
        <v>960</v>
      </c>
      <c r="E5" s="8" t="s">
        <v>39</v>
      </c>
      <c r="F5" s="8" t="s">
        <v>961</v>
      </c>
      <c r="G5" s="8" t="s">
        <v>962</v>
      </c>
      <c r="H5" s="8" t="s">
        <v>963</v>
      </c>
      <c r="I5" s="8" t="s">
        <v>964</v>
      </c>
      <c r="J5" s="8" t="s">
        <v>965</v>
      </c>
      <c r="K5" s="8" t="s">
        <v>966</v>
      </c>
      <c r="L5" s="8" t="s">
        <v>967</v>
      </c>
      <c r="M5" s="8" t="s">
        <v>968</v>
      </c>
      <c r="N5" s="8" t="s">
        <v>969</v>
      </c>
    </row>
    <row r="6" customFormat="false" ht="15" hidden="false" customHeight="false" outlineLevel="0" collapsed="false">
      <c r="A6" s="4" t="s">
        <v>176</v>
      </c>
      <c r="B6" s="5" t="s">
        <v>177</v>
      </c>
      <c r="C6" s="13" t="n">
        <f aca="false">COUNTIF(Checklist!$B$5:$B$300,A6)</f>
        <v>14</v>
      </c>
      <c r="D6" s="13" t="n">
        <f aca="false">SUMPRODUCT((Checklist!$B$5:$B$300=A6)*ISNUMBER(Checklist!$L$5:$L$300))</f>
        <v>0</v>
      </c>
      <c r="E6" s="13" t="n">
        <f aca="false">COUNTIFS(Checklist!$B$5:$B$300,A6,Checklist!$L$5:$L$300,"N/A")</f>
        <v>0</v>
      </c>
      <c r="F6" s="13" t="n">
        <f aca="false">C6-D6-E6</f>
        <v>14</v>
      </c>
      <c r="G6" s="19" t="n">
        <f aca="false">IF(C6-E6=0,"",D6/(C6-E6))</f>
        <v>0</v>
      </c>
      <c r="H6" s="20" t="str">
        <f aca="false">IF(D6=0,"",SUMIFS(Checklist!$L$5:$L$300,Checklist!$B$5:$B$300,A6)/D6)</f>
        <v/>
      </c>
      <c r="I6" s="19" t="str">
        <f aca="false">IF(D6=0,"",IF(SUMPRODUCT((Checklist!$B$5:$B$300=A6)*ISNUMBER(Checklist!$L$5:$L$300)*Checklist!$K$5:$K$300)=0,"",SUMIFS(Checklist!$AD$5:$AD$300,Checklist!$B$5:$B$300,A6)/SUMPRODUCT((Checklist!$B$5:$B$300=A6)*ISNUMBER(Checklist!$L$5:$L$300)*Checklist!$K$5:$K$300)))</f>
        <v/>
      </c>
      <c r="J6" s="13" t="str">
        <f aca="false">IF(I6="","Not assessed",IF(I6&gt;=Lists!$L$4,"Green",IF(I6&gt;=Lists!$L$5,"Amber","Red")))</f>
        <v>Not assessed</v>
      </c>
      <c r="K6" s="13" t="n">
        <f aca="false">COUNTIFS(Checklist!$B$5:$B$300,A6,Checklist!$M$5:$M$300,"Gap")</f>
        <v>0</v>
      </c>
      <c r="L6" s="13" t="n">
        <f aca="false">COUNTIFS(Checklist!$B$5:$B$300,A6,Checklist!$P$5:$P$300,"P1")</f>
        <v>0</v>
      </c>
      <c r="M6" s="13" t="n">
        <f aca="false">COUNTIFS(Checklist!$B$5:$B$300,A6,Checklist!$P$5:$P$300,"P2")</f>
        <v>0</v>
      </c>
      <c r="N6" s="13" t="n">
        <f aca="false">COUNTIFS(Checklist!$B$5:$B$300,A6,Checklist!$Q$5:$Q$300,"Yes")</f>
        <v>0</v>
      </c>
    </row>
    <row r="7" customFormat="false" ht="15" hidden="false" customHeight="false" outlineLevel="0" collapsed="false">
      <c r="A7" s="4" t="s">
        <v>265</v>
      </c>
      <c r="B7" s="5" t="s">
        <v>266</v>
      </c>
      <c r="C7" s="13" t="n">
        <f aca="false">COUNTIF(Checklist!$B$5:$B$300,A7)</f>
        <v>12</v>
      </c>
      <c r="D7" s="13" t="n">
        <f aca="false">SUMPRODUCT((Checklist!$B$5:$B$300=A7)*ISNUMBER(Checklist!$L$5:$L$300))</f>
        <v>0</v>
      </c>
      <c r="E7" s="13" t="n">
        <f aca="false">COUNTIFS(Checklist!$B$5:$B$300,A7,Checklist!$L$5:$L$300,"N/A")</f>
        <v>0</v>
      </c>
      <c r="F7" s="13" t="n">
        <f aca="false">C7-D7-E7</f>
        <v>12</v>
      </c>
      <c r="G7" s="19" t="n">
        <f aca="false">IF(C7-E7=0,"",D7/(C7-E7))</f>
        <v>0</v>
      </c>
      <c r="H7" s="20" t="str">
        <f aca="false">IF(D7=0,"",SUMIFS(Checklist!$L$5:$L$300,Checklist!$B$5:$B$300,A7)/D7)</f>
        <v/>
      </c>
      <c r="I7" s="19" t="str">
        <f aca="false">IF(D7=0,"",IF(SUMPRODUCT((Checklist!$B$5:$B$300=A7)*ISNUMBER(Checklist!$L$5:$L$300)*Checklist!$K$5:$K$300)=0,"",SUMIFS(Checklist!$AD$5:$AD$300,Checklist!$B$5:$B$300,A7)/SUMPRODUCT((Checklist!$B$5:$B$300=A7)*ISNUMBER(Checklist!$L$5:$L$300)*Checklist!$K$5:$K$300)))</f>
        <v/>
      </c>
      <c r="J7" s="13" t="str">
        <f aca="false">IF(I7="","Not assessed",IF(I7&gt;=Lists!$L$4,"Green",IF(I7&gt;=Lists!$L$5,"Amber","Red")))</f>
        <v>Not assessed</v>
      </c>
      <c r="K7" s="13" t="n">
        <f aca="false">COUNTIFS(Checklist!$B$5:$B$300,A7,Checklist!$M$5:$M$300,"Gap")</f>
        <v>0</v>
      </c>
      <c r="L7" s="13" t="n">
        <f aca="false">COUNTIFS(Checklist!$B$5:$B$300,A7,Checklist!$P$5:$P$300,"P1")</f>
        <v>0</v>
      </c>
      <c r="M7" s="13" t="n">
        <f aca="false">COUNTIFS(Checklist!$B$5:$B$300,A7,Checklist!$P$5:$P$300,"P2")</f>
        <v>0</v>
      </c>
      <c r="N7" s="13" t="n">
        <f aca="false">COUNTIFS(Checklist!$B$5:$B$300,A7,Checklist!$Q$5:$Q$300,"Yes")</f>
        <v>0</v>
      </c>
    </row>
    <row r="8" customFormat="false" ht="15" hidden="false" customHeight="false" outlineLevel="0" collapsed="false">
      <c r="A8" s="4" t="s">
        <v>341</v>
      </c>
      <c r="B8" s="5" t="s">
        <v>342</v>
      </c>
      <c r="C8" s="13" t="n">
        <f aca="false">COUNTIF(Checklist!$B$5:$B$300,A8)</f>
        <v>16</v>
      </c>
      <c r="D8" s="13" t="n">
        <f aca="false">SUMPRODUCT((Checklist!$B$5:$B$300=A8)*ISNUMBER(Checklist!$L$5:$L$300))</f>
        <v>0</v>
      </c>
      <c r="E8" s="13" t="n">
        <f aca="false">COUNTIFS(Checklist!$B$5:$B$300,A8,Checklist!$L$5:$L$300,"N/A")</f>
        <v>0</v>
      </c>
      <c r="F8" s="13" t="n">
        <f aca="false">C8-D8-E8</f>
        <v>16</v>
      </c>
      <c r="G8" s="19" t="n">
        <f aca="false">IF(C8-E8=0,"",D8/(C8-E8))</f>
        <v>0</v>
      </c>
      <c r="H8" s="20" t="str">
        <f aca="false">IF(D8=0,"",SUMIFS(Checklist!$L$5:$L$300,Checklist!$B$5:$B$300,A8)/D8)</f>
        <v/>
      </c>
      <c r="I8" s="19" t="str">
        <f aca="false">IF(D8=0,"",IF(SUMPRODUCT((Checklist!$B$5:$B$300=A8)*ISNUMBER(Checklist!$L$5:$L$300)*Checklist!$K$5:$K$300)=0,"",SUMIFS(Checklist!$AD$5:$AD$300,Checklist!$B$5:$B$300,A8)/SUMPRODUCT((Checklist!$B$5:$B$300=A8)*ISNUMBER(Checklist!$L$5:$L$300)*Checklist!$K$5:$K$300)))</f>
        <v/>
      </c>
      <c r="J8" s="13" t="str">
        <f aca="false">IF(I8="","Not assessed",IF(I8&gt;=Lists!$L$4,"Green",IF(I8&gt;=Lists!$L$5,"Amber","Red")))</f>
        <v>Not assessed</v>
      </c>
      <c r="K8" s="13" t="n">
        <f aca="false">COUNTIFS(Checklist!$B$5:$B$300,A8,Checklist!$M$5:$M$300,"Gap")</f>
        <v>0</v>
      </c>
      <c r="L8" s="13" t="n">
        <f aca="false">COUNTIFS(Checklist!$B$5:$B$300,A8,Checklist!$P$5:$P$300,"P1")</f>
        <v>0</v>
      </c>
      <c r="M8" s="13" t="n">
        <f aca="false">COUNTIFS(Checklist!$B$5:$B$300,A8,Checklist!$P$5:$P$300,"P2")</f>
        <v>0</v>
      </c>
      <c r="N8" s="13" t="n">
        <f aca="false">COUNTIFS(Checklist!$B$5:$B$300,A8,Checklist!$Q$5:$Q$300,"Yes")</f>
        <v>0</v>
      </c>
    </row>
    <row r="9" customFormat="false" ht="15" hidden="false" customHeight="false" outlineLevel="0" collapsed="false">
      <c r="A9" s="4" t="s">
        <v>444</v>
      </c>
      <c r="B9" s="5" t="s">
        <v>445</v>
      </c>
      <c r="C9" s="13" t="n">
        <f aca="false">COUNTIF(Checklist!$B$5:$B$300,A9)</f>
        <v>13</v>
      </c>
      <c r="D9" s="13" t="n">
        <f aca="false">SUMPRODUCT((Checklist!$B$5:$B$300=A9)*ISNUMBER(Checklist!$L$5:$L$300))</f>
        <v>0</v>
      </c>
      <c r="E9" s="13" t="n">
        <f aca="false">COUNTIFS(Checklist!$B$5:$B$300,A9,Checklist!$L$5:$L$300,"N/A")</f>
        <v>0</v>
      </c>
      <c r="F9" s="13" t="n">
        <f aca="false">C9-D9-E9</f>
        <v>13</v>
      </c>
      <c r="G9" s="19" t="n">
        <f aca="false">IF(C9-E9=0,"",D9/(C9-E9))</f>
        <v>0</v>
      </c>
      <c r="H9" s="20" t="str">
        <f aca="false">IF(D9=0,"",SUMIFS(Checklist!$L$5:$L$300,Checklist!$B$5:$B$300,A9)/D9)</f>
        <v/>
      </c>
      <c r="I9" s="19" t="str">
        <f aca="false">IF(D9=0,"",IF(SUMPRODUCT((Checklist!$B$5:$B$300=A9)*ISNUMBER(Checklist!$L$5:$L$300)*Checklist!$K$5:$K$300)=0,"",SUMIFS(Checklist!$AD$5:$AD$300,Checklist!$B$5:$B$300,A9)/SUMPRODUCT((Checklist!$B$5:$B$300=A9)*ISNUMBER(Checklist!$L$5:$L$300)*Checklist!$K$5:$K$300)))</f>
        <v/>
      </c>
      <c r="J9" s="13" t="str">
        <f aca="false">IF(I9="","Not assessed",IF(I9&gt;=Lists!$L$4,"Green",IF(I9&gt;=Lists!$L$5,"Amber","Red")))</f>
        <v>Not assessed</v>
      </c>
      <c r="K9" s="13" t="n">
        <f aca="false">COUNTIFS(Checklist!$B$5:$B$300,A9,Checklist!$M$5:$M$300,"Gap")</f>
        <v>0</v>
      </c>
      <c r="L9" s="13" t="n">
        <f aca="false">COUNTIFS(Checklist!$B$5:$B$300,A9,Checklist!$P$5:$P$300,"P1")</f>
        <v>0</v>
      </c>
      <c r="M9" s="13" t="n">
        <f aca="false">COUNTIFS(Checklist!$B$5:$B$300,A9,Checklist!$P$5:$P$300,"P2")</f>
        <v>0</v>
      </c>
      <c r="N9" s="13" t="n">
        <f aca="false">COUNTIFS(Checklist!$B$5:$B$300,A9,Checklist!$Q$5:$Q$300,"Yes")</f>
        <v>0</v>
      </c>
    </row>
    <row r="10" customFormat="false" ht="15" hidden="false" customHeight="false" outlineLevel="0" collapsed="false">
      <c r="A10" s="4" t="s">
        <v>526</v>
      </c>
      <c r="B10" s="5" t="s">
        <v>527</v>
      </c>
      <c r="C10" s="13" t="n">
        <f aca="false">COUNTIF(Checklist!$B$5:$B$300,A10)</f>
        <v>12</v>
      </c>
      <c r="D10" s="13" t="n">
        <f aca="false">SUMPRODUCT((Checklist!$B$5:$B$300=A10)*ISNUMBER(Checklist!$L$5:$L$300))</f>
        <v>0</v>
      </c>
      <c r="E10" s="13" t="n">
        <f aca="false">COUNTIFS(Checklist!$B$5:$B$300,A10,Checklist!$L$5:$L$300,"N/A")</f>
        <v>0</v>
      </c>
      <c r="F10" s="13" t="n">
        <f aca="false">C10-D10-E10</f>
        <v>12</v>
      </c>
      <c r="G10" s="19" t="n">
        <f aca="false">IF(C10-E10=0,"",D10/(C10-E10))</f>
        <v>0</v>
      </c>
      <c r="H10" s="20" t="str">
        <f aca="false">IF(D10=0,"",SUMIFS(Checklist!$L$5:$L$300,Checklist!$B$5:$B$300,A10)/D10)</f>
        <v/>
      </c>
      <c r="I10" s="19" t="str">
        <f aca="false">IF(D10=0,"",IF(SUMPRODUCT((Checklist!$B$5:$B$300=A10)*ISNUMBER(Checklist!$L$5:$L$300)*Checklist!$K$5:$K$300)=0,"",SUMIFS(Checklist!$AD$5:$AD$300,Checklist!$B$5:$B$300,A10)/SUMPRODUCT((Checklist!$B$5:$B$300=A10)*ISNUMBER(Checklist!$L$5:$L$300)*Checklist!$K$5:$K$300)))</f>
        <v/>
      </c>
      <c r="J10" s="13" t="str">
        <f aca="false">IF(I10="","Not assessed",IF(I10&gt;=Lists!$L$4,"Green",IF(I10&gt;=Lists!$L$5,"Amber","Red")))</f>
        <v>Not assessed</v>
      </c>
      <c r="K10" s="13" t="n">
        <f aca="false">COUNTIFS(Checklist!$B$5:$B$300,A10,Checklist!$M$5:$M$300,"Gap")</f>
        <v>0</v>
      </c>
      <c r="L10" s="13" t="n">
        <f aca="false">COUNTIFS(Checklist!$B$5:$B$300,A10,Checklist!$P$5:$P$300,"P1")</f>
        <v>0</v>
      </c>
      <c r="M10" s="13" t="n">
        <f aca="false">COUNTIFS(Checklist!$B$5:$B$300,A10,Checklist!$P$5:$P$300,"P2")</f>
        <v>0</v>
      </c>
      <c r="N10" s="13" t="n">
        <f aca="false">COUNTIFS(Checklist!$B$5:$B$300,A10,Checklist!$Q$5:$Q$300,"Yes")</f>
        <v>0</v>
      </c>
    </row>
    <row r="11" customFormat="false" ht="15" hidden="false" customHeight="false" outlineLevel="0" collapsed="false">
      <c r="A11" s="4" t="s">
        <v>600</v>
      </c>
      <c r="B11" s="5" t="s">
        <v>601</v>
      </c>
      <c r="C11" s="13" t="n">
        <f aca="false">COUNTIF(Checklist!$B$5:$B$300,A11)</f>
        <v>10</v>
      </c>
      <c r="D11" s="13" t="n">
        <f aca="false">SUMPRODUCT((Checklist!$B$5:$B$300=A11)*ISNUMBER(Checklist!$L$5:$L$300))</f>
        <v>0</v>
      </c>
      <c r="E11" s="13" t="n">
        <f aca="false">COUNTIFS(Checklist!$B$5:$B$300,A11,Checklist!$L$5:$L$300,"N/A")</f>
        <v>0</v>
      </c>
      <c r="F11" s="13" t="n">
        <f aca="false">C11-D11-E11</f>
        <v>10</v>
      </c>
      <c r="G11" s="19" t="n">
        <f aca="false">IF(C11-E11=0,"",D11/(C11-E11))</f>
        <v>0</v>
      </c>
      <c r="H11" s="20" t="str">
        <f aca="false">IF(D11=0,"",SUMIFS(Checklist!$L$5:$L$300,Checklist!$B$5:$B$300,A11)/D11)</f>
        <v/>
      </c>
      <c r="I11" s="19" t="str">
        <f aca="false">IF(D11=0,"",IF(SUMPRODUCT((Checklist!$B$5:$B$300=A11)*ISNUMBER(Checklist!$L$5:$L$300)*Checklist!$K$5:$K$300)=0,"",SUMIFS(Checklist!$AD$5:$AD$300,Checklist!$B$5:$B$300,A11)/SUMPRODUCT((Checklist!$B$5:$B$300=A11)*ISNUMBER(Checklist!$L$5:$L$300)*Checklist!$K$5:$K$300)))</f>
        <v/>
      </c>
      <c r="J11" s="13" t="str">
        <f aca="false">IF(I11="","Not assessed",IF(I11&gt;=Lists!$L$4,"Green",IF(I11&gt;=Lists!$L$5,"Amber","Red")))</f>
        <v>Not assessed</v>
      </c>
      <c r="K11" s="13" t="n">
        <f aca="false">COUNTIFS(Checklist!$B$5:$B$300,A11,Checklist!$M$5:$M$300,"Gap")</f>
        <v>0</v>
      </c>
      <c r="L11" s="13" t="n">
        <f aca="false">COUNTIFS(Checklist!$B$5:$B$300,A11,Checklist!$P$5:$P$300,"P1")</f>
        <v>0</v>
      </c>
      <c r="M11" s="13" t="n">
        <f aca="false">COUNTIFS(Checklist!$B$5:$B$300,A11,Checklist!$P$5:$P$300,"P2")</f>
        <v>0</v>
      </c>
      <c r="N11" s="13" t="n">
        <f aca="false">COUNTIFS(Checklist!$B$5:$B$300,A11,Checklist!$Q$5:$Q$300,"Yes")</f>
        <v>0</v>
      </c>
    </row>
    <row r="12" customFormat="false" ht="15" hidden="false" customHeight="false" outlineLevel="0" collapsed="false">
      <c r="A12" s="4" t="s">
        <v>662</v>
      </c>
      <c r="B12" s="5" t="s">
        <v>663</v>
      </c>
      <c r="C12" s="13" t="n">
        <f aca="false">COUNTIF(Checklist!$B$5:$B$300,A12)</f>
        <v>10</v>
      </c>
      <c r="D12" s="13" t="n">
        <f aca="false">SUMPRODUCT((Checklist!$B$5:$B$300=A12)*ISNUMBER(Checklist!$L$5:$L$300))</f>
        <v>0</v>
      </c>
      <c r="E12" s="13" t="n">
        <f aca="false">COUNTIFS(Checklist!$B$5:$B$300,A12,Checklist!$L$5:$L$300,"N/A")</f>
        <v>0</v>
      </c>
      <c r="F12" s="13" t="n">
        <f aca="false">C12-D12-E12</f>
        <v>10</v>
      </c>
      <c r="G12" s="19" t="n">
        <f aca="false">IF(C12-E12=0,"",D12/(C12-E12))</f>
        <v>0</v>
      </c>
      <c r="H12" s="20" t="str">
        <f aca="false">IF(D12=0,"",SUMIFS(Checklist!$L$5:$L$300,Checklist!$B$5:$B$300,A12)/D12)</f>
        <v/>
      </c>
      <c r="I12" s="19" t="str">
        <f aca="false">IF(D12=0,"",IF(SUMPRODUCT((Checklist!$B$5:$B$300=A12)*ISNUMBER(Checklist!$L$5:$L$300)*Checklist!$K$5:$K$300)=0,"",SUMIFS(Checklist!$AD$5:$AD$300,Checklist!$B$5:$B$300,A12)/SUMPRODUCT((Checklist!$B$5:$B$300=A12)*ISNUMBER(Checklist!$L$5:$L$300)*Checklist!$K$5:$K$300)))</f>
        <v/>
      </c>
      <c r="J12" s="13" t="str">
        <f aca="false">IF(I12="","Not assessed",IF(I12&gt;=Lists!$L$4,"Green",IF(I12&gt;=Lists!$L$5,"Amber","Red")))</f>
        <v>Not assessed</v>
      </c>
      <c r="K12" s="13" t="n">
        <f aca="false">COUNTIFS(Checklist!$B$5:$B$300,A12,Checklist!$M$5:$M$300,"Gap")</f>
        <v>0</v>
      </c>
      <c r="L12" s="13" t="n">
        <f aca="false">COUNTIFS(Checklist!$B$5:$B$300,A12,Checklist!$P$5:$P$300,"P1")</f>
        <v>0</v>
      </c>
      <c r="M12" s="13" t="n">
        <f aca="false">COUNTIFS(Checklist!$B$5:$B$300,A12,Checklist!$P$5:$P$300,"P2")</f>
        <v>0</v>
      </c>
      <c r="N12" s="13" t="n">
        <f aca="false">COUNTIFS(Checklist!$B$5:$B$300,A12,Checklist!$Q$5:$Q$300,"Yes")</f>
        <v>0</v>
      </c>
    </row>
    <row r="13" customFormat="false" ht="15" hidden="false" customHeight="false" outlineLevel="0" collapsed="false">
      <c r="A13" s="4" t="s">
        <v>725</v>
      </c>
      <c r="B13" s="5" t="s">
        <v>726</v>
      </c>
      <c r="C13" s="13" t="n">
        <f aca="false">COUNTIF(Checklist!$B$5:$B$300,A13)</f>
        <v>12</v>
      </c>
      <c r="D13" s="13" t="n">
        <f aca="false">SUMPRODUCT((Checklist!$B$5:$B$300=A13)*ISNUMBER(Checklist!$L$5:$L$300))</f>
        <v>0</v>
      </c>
      <c r="E13" s="13" t="n">
        <f aca="false">COUNTIFS(Checklist!$B$5:$B$300,A13,Checklist!$L$5:$L$300,"N/A")</f>
        <v>0</v>
      </c>
      <c r="F13" s="13" t="n">
        <f aca="false">C13-D13-E13</f>
        <v>12</v>
      </c>
      <c r="G13" s="19" t="n">
        <f aca="false">IF(C13-E13=0,"",D13/(C13-E13))</f>
        <v>0</v>
      </c>
      <c r="H13" s="20" t="str">
        <f aca="false">IF(D13=0,"",SUMIFS(Checklist!$L$5:$L$300,Checklist!$B$5:$B$300,A13)/D13)</f>
        <v/>
      </c>
      <c r="I13" s="19" t="str">
        <f aca="false">IF(D13=0,"",IF(SUMPRODUCT((Checklist!$B$5:$B$300=A13)*ISNUMBER(Checklist!$L$5:$L$300)*Checklist!$K$5:$K$300)=0,"",SUMIFS(Checklist!$AD$5:$AD$300,Checklist!$B$5:$B$300,A13)/SUMPRODUCT((Checklist!$B$5:$B$300=A13)*ISNUMBER(Checklist!$L$5:$L$300)*Checklist!$K$5:$K$300)))</f>
        <v/>
      </c>
      <c r="J13" s="13" t="str">
        <f aca="false">IF(I13="","Not assessed",IF(I13&gt;=Lists!$L$4,"Green",IF(I13&gt;=Lists!$L$5,"Amber","Red")))</f>
        <v>Not assessed</v>
      </c>
      <c r="K13" s="13" t="n">
        <f aca="false">COUNTIFS(Checklist!$B$5:$B$300,A13,Checklist!$M$5:$M$300,"Gap")</f>
        <v>0</v>
      </c>
      <c r="L13" s="13" t="n">
        <f aca="false">COUNTIFS(Checklist!$B$5:$B$300,A13,Checklist!$P$5:$P$300,"P1")</f>
        <v>0</v>
      </c>
      <c r="M13" s="13" t="n">
        <f aca="false">COUNTIFS(Checklist!$B$5:$B$300,A13,Checklist!$P$5:$P$300,"P2")</f>
        <v>0</v>
      </c>
      <c r="N13" s="13" t="n">
        <f aca="false">COUNTIFS(Checklist!$B$5:$B$300,A13,Checklist!$Q$5:$Q$300,"Yes")</f>
        <v>0</v>
      </c>
    </row>
    <row r="14" customFormat="false" ht="15" hidden="false" customHeight="false" outlineLevel="0" collapsed="false">
      <c r="A14" s="4" t="s">
        <v>800</v>
      </c>
      <c r="B14" s="5" t="s">
        <v>801</v>
      </c>
      <c r="C14" s="13" t="n">
        <f aca="false">COUNTIF(Checklist!$B$5:$B$300,A14)</f>
        <v>8</v>
      </c>
      <c r="D14" s="13" t="n">
        <f aca="false">SUMPRODUCT((Checklist!$B$5:$B$300=A14)*ISNUMBER(Checklist!$L$5:$L$300))</f>
        <v>0</v>
      </c>
      <c r="E14" s="13" t="n">
        <f aca="false">COUNTIFS(Checklist!$B$5:$B$300,A14,Checklist!$L$5:$L$300,"N/A")</f>
        <v>0</v>
      </c>
      <c r="F14" s="13" t="n">
        <f aca="false">C14-D14-E14</f>
        <v>8</v>
      </c>
      <c r="G14" s="19" t="n">
        <f aca="false">IF(C14-E14=0,"",D14/(C14-E14))</f>
        <v>0</v>
      </c>
      <c r="H14" s="20" t="str">
        <f aca="false">IF(D14=0,"",SUMIFS(Checklist!$L$5:$L$300,Checklist!$B$5:$B$300,A14)/D14)</f>
        <v/>
      </c>
      <c r="I14" s="19" t="str">
        <f aca="false">IF(D14=0,"",IF(SUMPRODUCT((Checklist!$B$5:$B$300=A14)*ISNUMBER(Checklist!$L$5:$L$300)*Checklist!$K$5:$K$300)=0,"",SUMIFS(Checklist!$AD$5:$AD$300,Checklist!$B$5:$B$300,A14)/SUMPRODUCT((Checklist!$B$5:$B$300=A14)*ISNUMBER(Checklist!$L$5:$L$300)*Checklist!$K$5:$K$300)))</f>
        <v/>
      </c>
      <c r="J14" s="13" t="str">
        <f aca="false">IF(I14="","Not assessed",IF(I14&gt;=Lists!$L$4,"Green",IF(I14&gt;=Lists!$L$5,"Amber","Red")))</f>
        <v>Not assessed</v>
      </c>
      <c r="K14" s="13" t="n">
        <f aca="false">COUNTIFS(Checklist!$B$5:$B$300,A14,Checklist!$M$5:$M$300,"Gap")</f>
        <v>0</v>
      </c>
      <c r="L14" s="13" t="n">
        <f aca="false">COUNTIFS(Checklist!$B$5:$B$300,A14,Checklist!$P$5:$P$300,"P1")</f>
        <v>0</v>
      </c>
      <c r="M14" s="13" t="n">
        <f aca="false">COUNTIFS(Checklist!$B$5:$B$300,A14,Checklist!$P$5:$P$300,"P2")</f>
        <v>0</v>
      </c>
      <c r="N14" s="13" t="n">
        <f aca="false">COUNTIFS(Checklist!$B$5:$B$300,A14,Checklist!$Q$5:$Q$300,"Yes")</f>
        <v>0</v>
      </c>
    </row>
    <row r="15" customFormat="false" ht="15" hidden="false" customHeight="false" outlineLevel="0" collapsed="false">
      <c r="A15" s="4" t="s">
        <v>851</v>
      </c>
      <c r="B15" s="5" t="s">
        <v>852</v>
      </c>
      <c r="C15" s="13" t="n">
        <f aca="false">COUNTIF(Checklist!$B$5:$B$300,A15)</f>
        <v>9</v>
      </c>
      <c r="D15" s="13" t="n">
        <f aca="false">SUMPRODUCT((Checklist!$B$5:$B$300=A15)*ISNUMBER(Checklist!$L$5:$L$300))</f>
        <v>0</v>
      </c>
      <c r="E15" s="13" t="n">
        <f aca="false">COUNTIFS(Checklist!$B$5:$B$300,A15,Checklist!$L$5:$L$300,"N/A")</f>
        <v>0</v>
      </c>
      <c r="F15" s="13" t="n">
        <f aca="false">C15-D15-E15</f>
        <v>9</v>
      </c>
      <c r="G15" s="19" t="n">
        <f aca="false">IF(C15-E15=0,"",D15/(C15-E15))</f>
        <v>0</v>
      </c>
      <c r="H15" s="20" t="str">
        <f aca="false">IF(D15=0,"",SUMIFS(Checklist!$L$5:$L$300,Checklist!$B$5:$B$300,A15)/D15)</f>
        <v/>
      </c>
      <c r="I15" s="19" t="str">
        <f aca="false">IF(D15=0,"",IF(SUMPRODUCT((Checklist!$B$5:$B$300=A15)*ISNUMBER(Checklist!$L$5:$L$300)*Checklist!$K$5:$K$300)=0,"",SUMIFS(Checklist!$AD$5:$AD$300,Checklist!$B$5:$B$300,A15)/SUMPRODUCT((Checklist!$B$5:$B$300=A15)*ISNUMBER(Checklist!$L$5:$L$300)*Checklist!$K$5:$K$300)))</f>
        <v/>
      </c>
      <c r="J15" s="13" t="str">
        <f aca="false">IF(I15="","Not assessed",IF(I15&gt;=Lists!$L$4,"Green",IF(I15&gt;=Lists!$L$5,"Amber","Red")))</f>
        <v>Not assessed</v>
      </c>
      <c r="K15" s="13" t="n">
        <f aca="false">COUNTIFS(Checklist!$B$5:$B$300,A15,Checklist!$M$5:$M$300,"Gap")</f>
        <v>0</v>
      </c>
      <c r="L15" s="13" t="n">
        <f aca="false">COUNTIFS(Checklist!$B$5:$B$300,A15,Checklist!$P$5:$P$300,"P1")</f>
        <v>0</v>
      </c>
      <c r="M15" s="13" t="n">
        <f aca="false">COUNTIFS(Checklist!$B$5:$B$300,A15,Checklist!$P$5:$P$300,"P2")</f>
        <v>0</v>
      </c>
      <c r="N15" s="13" t="n">
        <f aca="false">COUNTIFS(Checklist!$B$5:$B$300,A15,Checklist!$Q$5:$Q$300,"Yes")</f>
        <v>0</v>
      </c>
    </row>
    <row r="16" customFormat="false" ht="15" hidden="false" customHeight="false" outlineLevel="0" collapsed="false">
      <c r="A16" s="4" t="s">
        <v>907</v>
      </c>
      <c r="B16" s="5" t="s">
        <v>908</v>
      </c>
      <c r="C16" s="13" t="n">
        <f aca="false">COUNTIF(Checklist!$B$5:$B$300,A16)</f>
        <v>8</v>
      </c>
      <c r="D16" s="13" t="n">
        <f aca="false">SUMPRODUCT((Checklist!$B$5:$B$300=A16)*ISNUMBER(Checklist!$L$5:$L$300))</f>
        <v>0</v>
      </c>
      <c r="E16" s="13" t="n">
        <f aca="false">COUNTIFS(Checklist!$B$5:$B$300,A16,Checklist!$L$5:$L$300,"N/A")</f>
        <v>0</v>
      </c>
      <c r="F16" s="13" t="n">
        <f aca="false">C16-D16-E16</f>
        <v>8</v>
      </c>
      <c r="G16" s="19" t="n">
        <f aca="false">IF(C16-E16=0,"",D16/(C16-E16))</f>
        <v>0</v>
      </c>
      <c r="H16" s="20" t="str">
        <f aca="false">IF(D16=0,"",SUMIFS(Checklist!$L$5:$L$300,Checklist!$B$5:$B$300,A16)/D16)</f>
        <v/>
      </c>
      <c r="I16" s="19" t="str">
        <f aca="false">IF(D16=0,"",IF(SUMPRODUCT((Checklist!$B$5:$B$300=A16)*ISNUMBER(Checklist!$L$5:$L$300)*Checklist!$K$5:$K$300)=0,"",SUMIFS(Checklist!$AD$5:$AD$300,Checklist!$B$5:$B$300,A16)/SUMPRODUCT((Checklist!$B$5:$B$300=A16)*ISNUMBER(Checklist!$L$5:$L$300)*Checklist!$K$5:$K$300)))</f>
        <v/>
      </c>
      <c r="J16" s="13" t="str">
        <f aca="false">IF(I16="","Not assessed",IF(I16&gt;=Lists!$L$4,"Green",IF(I16&gt;=Lists!$L$5,"Amber","Red")))</f>
        <v>Not assessed</v>
      </c>
      <c r="K16" s="13" t="n">
        <f aca="false">COUNTIFS(Checklist!$B$5:$B$300,A16,Checklist!$M$5:$M$300,"Gap")</f>
        <v>0</v>
      </c>
      <c r="L16" s="13" t="n">
        <f aca="false">COUNTIFS(Checklist!$B$5:$B$300,A16,Checklist!$P$5:$P$300,"P1")</f>
        <v>0</v>
      </c>
      <c r="M16" s="13" t="n">
        <f aca="false">COUNTIFS(Checklist!$B$5:$B$300,A16,Checklist!$P$5:$P$300,"P2")</f>
        <v>0</v>
      </c>
      <c r="N16" s="13" t="n">
        <f aca="false">COUNTIFS(Checklist!$B$5:$B$300,A16,Checklist!$Q$5:$Q$300,"Yes")</f>
        <v>0</v>
      </c>
    </row>
    <row r="17" customFormat="false" ht="23.85" hidden="false" customHeight="false" outlineLevel="0" collapsed="false">
      <c r="A17" s="21" t="s">
        <v>970</v>
      </c>
      <c r="B17" s="21" t="s">
        <v>971</v>
      </c>
      <c r="C17" s="22" t="n">
        <f aca="false">SUM(C6:C16)</f>
        <v>124</v>
      </c>
      <c r="D17" s="22" t="n">
        <f aca="false">SUM(D6:D16)</f>
        <v>0</v>
      </c>
      <c r="E17" s="22" t="n">
        <f aca="false">SUM(E6:E16)</f>
        <v>0</v>
      </c>
      <c r="F17" s="22" t="n">
        <f aca="false">SUM(F6:F16)</f>
        <v>124</v>
      </c>
      <c r="G17" s="23" t="n">
        <f aca="false">IF(C17-E17=0,"",D17/(C17-E17))</f>
        <v>0</v>
      </c>
      <c r="H17" s="24" t="str">
        <f aca="false">IF(D17=0,"",SUM(Checklist!$L$5:$L$300)/D17)</f>
        <v/>
      </c>
      <c r="I17" s="23" t="str">
        <f aca="false">IF(D17=0,"",IF(SUMPRODUCT(ISNUMBER(Checklist!$L$5:$L$300)*Checklist!$K$5:$K$300)=0,"",SUM(Checklist!$AD$5:$AD$300)/SUMPRODUCT(ISNUMBER(Checklist!$L$5:$L$300)*Checklist!$K$5:$K$300)))</f>
        <v/>
      </c>
      <c r="J17" s="22" t="str">
        <f aca="false">IF(I17="","Not assessed",IF(I17&gt;=Lists!$L$4,"Green",IF(I17&gt;=Lists!$L$5,"Amber","Red")))</f>
        <v>Not assessed</v>
      </c>
      <c r="K17" s="22" t="n">
        <f aca="false">SUM(K6:K16)</f>
        <v>0</v>
      </c>
      <c r="L17" s="22" t="n">
        <f aca="false">SUM(L6:L16)</f>
        <v>0</v>
      </c>
      <c r="M17" s="22" t="n">
        <f aca="false">SUM(M6:M16)</f>
        <v>0</v>
      </c>
      <c r="N17" s="22" t="n">
        <f aca="false">SUM(N6:N16)</f>
        <v>0</v>
      </c>
    </row>
    <row r="19" customFormat="false" ht="15" hidden="false" customHeight="false" outlineLevel="0" collapsed="false">
      <c r="A19" s="3" t="s">
        <v>972</v>
      </c>
    </row>
    <row r="20" customFormat="false" ht="15" hidden="false" customHeight="false" outlineLevel="0" collapsed="false">
      <c r="A20" s="8"/>
      <c r="B20" s="8" t="s">
        <v>973</v>
      </c>
      <c r="C20" s="8" t="s">
        <v>974</v>
      </c>
      <c r="D20" s="8" t="s">
        <v>967</v>
      </c>
    </row>
    <row r="21" customFormat="false" ht="23.85" hidden="false" customHeight="false" outlineLevel="0" collapsed="false">
      <c r="B21" s="5" t="s">
        <v>975</v>
      </c>
      <c r="C21" s="13" t="n">
        <f aca="false">COUNTIFS(Checklist!$R$5:$R$300,"BAU",Checklist!$M$5:$M$300,"Gap")</f>
        <v>0</v>
      </c>
      <c r="D21" s="13" t="n">
        <f aca="false">COUNTIFS(Checklist!$R$5:$R$300,"BAU",Checklist!$P$5:$P$300,"P1")</f>
        <v>0</v>
      </c>
    </row>
    <row r="22" customFormat="false" ht="15" hidden="false" customHeight="false" outlineLevel="0" collapsed="false">
      <c r="B22" s="5" t="s">
        <v>976</v>
      </c>
      <c r="C22" s="13" t="n">
        <f aca="false">COUNTIFS(Checklist!$R$5:$R$300,"Billable",Checklist!$M$5:$M$300,"Gap")</f>
        <v>0</v>
      </c>
      <c r="D22" s="13" t="n">
        <f aca="false">COUNTIFS(Checklist!$R$5:$R$300,"Billable",Checklist!$P$5:$P$300,"P1")</f>
        <v>0</v>
      </c>
    </row>
    <row r="23" customFormat="false" ht="15" hidden="false" customHeight="false" outlineLevel="0" collapsed="false">
      <c r="B23" s="5" t="s">
        <v>977</v>
      </c>
      <c r="C23" s="13" t="n">
        <f aca="false">COUNTIFS(Checklist!$R$5:$R$300,"Value-add",Checklist!$M$5:$M$300,"Gap")</f>
        <v>0</v>
      </c>
      <c r="D23" s="13" t="n">
        <f aca="false">COUNTIFS(Checklist!$R$5:$R$300,"Value-add",Checklist!$P$5:$P$300,"P1")</f>
        <v>0</v>
      </c>
    </row>
    <row r="24" customFormat="false" ht="23.85" hidden="false" customHeight="false" outlineLevel="0" collapsed="false">
      <c r="B24" s="5" t="s">
        <v>978</v>
      </c>
      <c r="C24" s="13" t="n">
        <f aca="false">COUNTIFS(Checklist!$R$5:$R$300,"Client-owned",Checklist!$M$5:$M$300,"Gap")</f>
        <v>0</v>
      </c>
      <c r="D24" s="13" t="n">
        <f aca="false">COUNTIFS(Checklist!$R$5:$R$300,"Client-owned",Checklist!$P$5:$P$300,"P1")</f>
        <v>0</v>
      </c>
    </row>
    <row r="25" customFormat="false" ht="15" hidden="false" customHeight="false" outlineLevel="0" collapsed="false">
      <c r="B25" s="25" t="s">
        <v>979</v>
      </c>
      <c r="C25" s="13" t="n">
        <f aca="false">COUNTIFS(Checklist!$R$5:$R$300,"",Checklist!$M$5:$M$300,"Gap")</f>
        <v>0</v>
      </c>
    </row>
    <row r="27" customFormat="false" ht="15" hidden="false" customHeight="false" outlineLevel="0" collapsed="false">
      <c r="A27" s="8"/>
      <c r="B27" s="8" t="s">
        <v>980</v>
      </c>
      <c r="C27" s="8" t="s">
        <v>974</v>
      </c>
    </row>
    <row r="28" customFormat="false" ht="15" hidden="false" customHeight="false" outlineLevel="0" collapsed="false">
      <c r="B28" s="5" t="s">
        <v>981</v>
      </c>
      <c r="C28" s="13" t="n">
        <f aca="false">COUNTIFS(Checklist!$X$5:$X$300,"OPPORTUNITIES.md",Checklist!$M$5:$M$300,"Gap")</f>
        <v>0</v>
      </c>
    </row>
    <row r="29" customFormat="false" ht="15" hidden="false" customHeight="false" outlineLevel="0" collapsed="false">
      <c r="B29" s="5" t="s">
        <v>982</v>
      </c>
      <c r="C29" s="13" t="n">
        <f aca="false">COUNTIFS(Checklist!$X$5:$X$300,"STACK debt register",Checklist!$M$5:$M$300,"Gap")</f>
        <v>0</v>
      </c>
    </row>
    <row r="30" customFormat="false" ht="15" hidden="false" customHeight="false" outlineLevel="0" collapsed="false">
      <c r="B30" s="5" t="s">
        <v>983</v>
      </c>
      <c r="C30" s="13" t="n">
        <f aca="false">COUNTIFS(Checklist!$X$5:$X$300,"STACK verification backlog",Checklist!$M$5:$M$300,"Gap")</f>
        <v>0</v>
      </c>
    </row>
    <row r="31" customFormat="false" ht="15" hidden="false" customHeight="false" outlineLevel="0" collapsed="false">
      <c r="B31" s="5" t="s">
        <v>984</v>
      </c>
      <c r="C31" s="13" t="n">
        <f aca="false">COUNTIFS(Checklist!$X$5:$X$300,"PROBLEMS.md",Checklist!$M$5:$M$300,"Gap")</f>
        <v>0</v>
      </c>
    </row>
    <row r="32" customFormat="false" ht="15" hidden="false" customHeight="false" outlineLevel="0" collapsed="false">
      <c r="B32" s="5" t="s">
        <v>985</v>
      </c>
      <c r="C32" s="13" t="n">
        <f aca="false">COUNTIFS(Checklist!$X$5:$X$300,"eFO lead (via SDM)",Checklist!$M$5:$M$300,"Gap")</f>
        <v>0</v>
      </c>
    </row>
    <row r="33" customFormat="false" ht="15" hidden="false" customHeight="false" outlineLevel="0" collapsed="false">
      <c r="B33" s="5" t="s">
        <v>986</v>
      </c>
      <c r="C33" s="13" t="n">
        <f aca="false">COUNTIFS(Checklist!$X$5:$X$300,"SNOW ticket",Checklist!$M$5:$M$300,"Gap")</f>
        <v>0</v>
      </c>
    </row>
    <row r="34" customFormat="false" ht="15" hidden="false" customHeight="false" outlineLevel="0" collapsed="false">
      <c r="B34" s="5" t="s">
        <v>987</v>
      </c>
      <c r="C34" s="13" t="n">
        <f aca="false">COUNTIFS(Checklist!$X$5:$X$300,"Risk notified (SDM+CAM)",Checklist!$M$5:$M$300,"Gap")</f>
        <v>0</v>
      </c>
    </row>
    <row r="35" customFormat="false" ht="15" hidden="false" customHeight="false" outlineLevel="0" collapsed="false">
      <c r="B35" s="5" t="s">
        <v>988</v>
      </c>
      <c r="C35" s="13" t="n">
        <f aca="false">COUNTIFS(Checklist!$X$5:$X$300,"Accepted by client",Checklist!$M$5:$M$300,"Gap")</f>
        <v>0</v>
      </c>
    </row>
    <row r="36" customFormat="false" ht="15" hidden="false" customHeight="false" outlineLevel="0" collapsed="false">
      <c r="B36" s="5" t="s">
        <v>989</v>
      </c>
      <c r="C36" s="13" t="n">
        <f aca="false">COUNTIFS(Checklist!$X$5:$X$300,"No action",Checklist!$M$5:$M$300,"Gap")</f>
        <v>0</v>
      </c>
    </row>
    <row r="37" customFormat="false" ht="15" hidden="false" customHeight="false" outlineLevel="0" collapsed="false">
      <c r="B37" s="25" t="s">
        <v>990</v>
      </c>
      <c r="C37" s="13" t="n">
        <f aca="false">COUNTIFS(Checklist!$X$5:$X$300,"",Checklist!$M$5:$M$300,"Gap")</f>
        <v>0</v>
      </c>
    </row>
    <row r="38" customFormat="false" ht="15" hidden="false" customHeight="false" outlineLevel="0" collapsed="false">
      <c r="B38" s="25" t="s">
        <v>991</v>
      </c>
      <c r="C38" s="13" t="n">
        <f aca="false">COUNTIFS(Checklist!$M$5:$M$300,"Gap",Checklist!$N$5:$N$300,"&lt;&gt;",Checklist!$V$5:$V$300,"")</f>
        <v>0</v>
      </c>
    </row>
    <row r="41" customFormat="false" ht="15" hidden="false" customHeight="false" outlineLevel="0" collapsed="false">
      <c r="A41" s="3" t="s">
        <v>992</v>
      </c>
    </row>
    <row r="42" customFormat="false" ht="15" hidden="false" customHeight="true" outlineLevel="0" collapsed="false">
      <c r="A42" s="8" t="s">
        <v>958</v>
      </c>
      <c r="B42" s="8" t="s">
        <v>993</v>
      </c>
      <c r="C42" s="8" t="s">
        <v>994</v>
      </c>
      <c r="D42" s="8" t="s">
        <v>960</v>
      </c>
      <c r="E42" s="8" t="s">
        <v>995</v>
      </c>
      <c r="F42" s="8" t="s">
        <v>996</v>
      </c>
      <c r="J42" s="25" t="s">
        <v>997</v>
      </c>
      <c r="K42" s="25"/>
      <c r="L42" s="25"/>
      <c r="M42" s="25"/>
      <c r="N42" s="25"/>
    </row>
    <row r="43" customFormat="false" ht="23.85" hidden="false" customHeight="false" outlineLevel="0" collapsed="false">
      <c r="A43" s="4" t="s">
        <v>367</v>
      </c>
      <c r="B43" s="5" t="s">
        <v>998</v>
      </c>
      <c r="C43" s="13" t="n">
        <f aca="false">SUMPRODUCT(ISNUMBER(SEARCH(" PA "," "&amp;SUBSTITUTE(Checklist!$I$5:$I$300,","," ")&amp;" "))*1)</f>
        <v>7</v>
      </c>
      <c r="D43" s="13" t="n">
        <f aca="false">COUNT(Checklist!$AE$5:$AE$300)</f>
        <v>0</v>
      </c>
      <c r="E43" s="13" t="str">
        <f aca="false">IF(COUNT(Checklist!$AE$5:$AE$300)=0,"",MIN(Checklist!$AE$5:$AE$300))</f>
        <v/>
      </c>
      <c r="F43" s="13" t="str">
        <f aca="false">IF(E43="","Not assessed",IF(E43&lt;=1,"Below ML1",IF(E43=2,"~ML1","~ML2 (verify)")))</f>
        <v>Not assessed</v>
      </c>
      <c r="J43" s="25"/>
      <c r="K43" s="25"/>
      <c r="L43" s="25"/>
      <c r="M43" s="25"/>
      <c r="N43" s="25"/>
    </row>
    <row r="44" customFormat="false" ht="23.85" hidden="false" customHeight="false" outlineLevel="0" collapsed="false">
      <c r="A44" s="4" t="s">
        <v>354</v>
      </c>
      <c r="B44" s="5" t="s">
        <v>999</v>
      </c>
      <c r="C44" s="13" t="n">
        <f aca="false">SUMPRODUCT(ISNUMBER(SEARCH(" PO "," "&amp;SUBSTITUTE(Checklist!$I$5:$I$300,","," ")&amp;" "))*1)</f>
        <v>20</v>
      </c>
      <c r="D44" s="13" t="n">
        <f aca="false">COUNT(Checklist!$AF$5:$AF$300)</f>
        <v>0</v>
      </c>
      <c r="E44" s="13" t="str">
        <f aca="false">IF(COUNT(Checklist!$AF$5:$AF$300)=0,"",MIN(Checklist!$AF$5:$AF$300))</f>
        <v/>
      </c>
      <c r="F44" s="13" t="str">
        <f aca="false">IF(E44="","Not assessed",IF(E44&lt;=1,"Below ML1",IF(E44=2,"~ML1","~ML2 (verify)")))</f>
        <v>Not assessed</v>
      </c>
      <c r="J44" s="25"/>
      <c r="K44" s="25"/>
      <c r="L44" s="25"/>
      <c r="M44" s="25"/>
      <c r="N44" s="25"/>
    </row>
    <row r="45" customFormat="false" ht="23.85" hidden="false" customHeight="false" outlineLevel="0" collapsed="false">
      <c r="A45" s="4" t="s">
        <v>189</v>
      </c>
      <c r="B45" s="5" t="s">
        <v>1000</v>
      </c>
      <c r="C45" s="13" t="n">
        <f aca="false">SUMPRODUCT(ISNUMBER(SEARCH(" MFA "," "&amp;SUBSTITUTE(Checklist!$I$5:$I$300,","," ")&amp;" "))*1)</f>
        <v>8</v>
      </c>
      <c r="D45" s="13" t="n">
        <f aca="false">COUNT(Checklist!$AG$5:$AG$300)</f>
        <v>0</v>
      </c>
      <c r="E45" s="13" t="str">
        <f aca="false">IF(COUNT(Checklist!$AG$5:$AG$300)=0,"",MIN(Checklist!$AG$5:$AG$300))</f>
        <v/>
      </c>
      <c r="F45" s="13" t="str">
        <f aca="false">IF(E45="","Not assessed",IF(E45&lt;=1,"Below ML1",IF(E45=2,"~ML1","~ML2 (verify)")))</f>
        <v>Not assessed</v>
      </c>
      <c r="J45" s="25"/>
      <c r="K45" s="25"/>
      <c r="L45" s="25"/>
      <c r="M45" s="25"/>
      <c r="N45" s="25"/>
    </row>
    <row r="46" customFormat="false" ht="23.85" hidden="false" customHeight="false" outlineLevel="0" collapsed="false">
      <c r="A46" s="4" t="s">
        <v>208</v>
      </c>
      <c r="B46" s="5" t="s">
        <v>1001</v>
      </c>
      <c r="C46" s="13" t="n">
        <f aca="false">SUMPRODUCT(ISNUMBER(SEARCH(" RAP "," "&amp;SUBSTITUTE(Checklist!$I$5:$I$300,","," ")&amp;" "))*1)</f>
        <v>16</v>
      </c>
      <c r="D46" s="13" t="n">
        <f aca="false">COUNT(Checklist!$AH$5:$AH$300)</f>
        <v>0</v>
      </c>
      <c r="E46" s="13" t="str">
        <f aca="false">IF(COUNT(Checklist!$AH$5:$AH$300)=0,"",MIN(Checklist!$AH$5:$AH$300))</f>
        <v/>
      </c>
      <c r="F46" s="13" t="str">
        <f aca="false">IF(E46="","Not assessed",IF(E46&lt;=1,"Below ML1",IF(E46=2,"~ML1","~ML2 (verify)")))</f>
        <v>Not assessed</v>
      </c>
      <c r="J46" s="25"/>
      <c r="K46" s="25"/>
      <c r="L46" s="25"/>
      <c r="M46" s="25"/>
      <c r="N46" s="25"/>
    </row>
    <row r="47" customFormat="false" ht="23.85" hidden="false" customHeight="false" outlineLevel="0" collapsed="false">
      <c r="A47" s="4" t="s">
        <v>398</v>
      </c>
      <c r="B47" s="5" t="s">
        <v>1002</v>
      </c>
      <c r="C47" s="13" t="n">
        <f aca="false">SUMPRODUCT(ISNUMBER(SEARCH(" AC "," "&amp;SUBSTITUTE(Checklist!$I$5:$I$300,","," ")&amp;" "))*1)</f>
        <v>4</v>
      </c>
      <c r="D47" s="13" t="n">
        <f aca="false">COUNT(Checklist!$AI$5:$AI$300)</f>
        <v>0</v>
      </c>
      <c r="E47" s="13" t="str">
        <f aca="false">IF(COUNT(Checklist!$AI$5:$AI$300)=0,"",MIN(Checklist!$AI$5:$AI$300))</f>
        <v/>
      </c>
      <c r="F47" s="13" t="str">
        <f aca="false">IF(E47="","Not assessed",IF(E47&lt;=1,"Below ML1",IF(E47=2,"~ML1","~ML2 (verify)")))</f>
        <v>Not assessed</v>
      </c>
      <c r="J47" s="25"/>
      <c r="K47" s="25"/>
      <c r="L47" s="25"/>
      <c r="M47" s="25"/>
      <c r="N47" s="25"/>
    </row>
    <row r="48" customFormat="false" ht="23.85" hidden="false" customHeight="false" outlineLevel="0" collapsed="false">
      <c r="A48" s="4" t="s">
        <v>405</v>
      </c>
      <c r="B48" s="5" t="s">
        <v>1003</v>
      </c>
      <c r="C48" s="13" t="n">
        <f aca="false">SUMPRODUCT(ISNUMBER(SEARCH(" MAC "," "&amp;SUBSTITUTE(Checklist!$I$5:$I$300,","," ")&amp;" "))*1)</f>
        <v>1</v>
      </c>
      <c r="D48" s="13" t="n">
        <f aca="false">COUNT(Checklist!$AJ$5:$AJ$300)</f>
        <v>0</v>
      </c>
      <c r="E48" s="13" t="str">
        <f aca="false">IF(COUNT(Checklist!$AJ$5:$AJ$300)=0,"",MIN(Checklist!$AJ$5:$AJ$300))</f>
        <v/>
      </c>
      <c r="F48" s="13" t="str">
        <f aca="false">IF(E48="","Not assessed",IF(E48&lt;=1,"Below ML1",IF(E48=2,"~ML1","~ML2 (verify)")))</f>
        <v>Not assessed</v>
      </c>
      <c r="J48" s="25"/>
      <c r="K48" s="25"/>
      <c r="L48" s="25"/>
      <c r="M48" s="25"/>
      <c r="N48" s="25"/>
    </row>
    <row r="49" customFormat="false" ht="23.85" hidden="false" customHeight="false" outlineLevel="0" collapsed="false">
      <c r="A49" s="4" t="s">
        <v>412</v>
      </c>
      <c r="B49" s="5" t="s">
        <v>1004</v>
      </c>
      <c r="C49" s="13" t="n">
        <f aca="false">SUMPRODUCT(ISNUMBER(SEARCH(" UAH "," "&amp;SUBSTITUTE(Checklist!$I$5:$I$300,","," ")&amp;" "))*1)</f>
        <v>3</v>
      </c>
      <c r="D49" s="13" t="n">
        <f aca="false">COUNT(Checklist!$AK$5:$AK$300)</f>
        <v>0</v>
      </c>
      <c r="E49" s="13" t="str">
        <f aca="false">IF(COUNT(Checklist!$AK$5:$AK$300)=0,"",MIN(Checklist!$AK$5:$AK$300))</f>
        <v/>
      </c>
      <c r="F49" s="13" t="str">
        <f aca="false">IF(E49="","Not assessed",IF(E49&lt;=1,"Below ML1",IF(E49=2,"~ML1","~ML2 (verify)")))</f>
        <v>Not assessed</v>
      </c>
      <c r="J49" s="25"/>
      <c r="K49" s="25"/>
      <c r="L49" s="25"/>
      <c r="M49" s="25"/>
      <c r="N49" s="25"/>
    </row>
    <row r="50" customFormat="false" ht="23.85" hidden="false" customHeight="false" outlineLevel="0" collapsed="false">
      <c r="A50" s="4" t="s">
        <v>321</v>
      </c>
      <c r="B50" s="5" t="s">
        <v>1005</v>
      </c>
      <c r="C50" s="13" t="n">
        <f aca="false">SUMPRODUCT(ISNUMBER(SEARCH(" RB "," "&amp;SUBSTITUTE(Checklist!$I$5:$I$300,","," ")&amp;" "))*1)</f>
        <v>14</v>
      </c>
      <c r="D50" s="13" t="n">
        <f aca="false">COUNT(Checklist!$AL$5:$AL$300)</f>
        <v>0</v>
      </c>
      <c r="E50" s="13" t="str">
        <f aca="false">IF(COUNT(Checklist!$AL$5:$AL$300)=0,"",MIN(Checklist!$AL$5:$AL$300))</f>
        <v/>
      </c>
      <c r="F50" s="13" t="str">
        <f aca="false">IF(E50="","Not assessed",IF(E50&lt;=1,"Below ML1",IF(E50=2,"~ML1","~ML2 (verify)")))</f>
        <v>Not assessed</v>
      </c>
      <c r="J50" s="25"/>
      <c r="K50" s="25"/>
      <c r="L50" s="25"/>
      <c r="M50" s="25"/>
      <c r="N50" s="25"/>
    </row>
    <row r="53" customFormat="false" ht="15" hidden="false" customHeight="false" outlineLevel="0" collapsed="false">
      <c r="A53" s="3" t="s">
        <v>1006</v>
      </c>
    </row>
    <row r="54" customFormat="false" ht="15" hidden="false" customHeight="false" outlineLevel="0" collapsed="false">
      <c r="A54" s="8"/>
      <c r="B54" s="8" t="s">
        <v>1007</v>
      </c>
      <c r="C54" s="8" t="s">
        <v>959</v>
      </c>
    </row>
    <row r="55" customFormat="false" ht="15" hidden="false" customHeight="false" outlineLevel="0" collapsed="false">
      <c r="B55" s="5" t="s">
        <v>1008</v>
      </c>
      <c r="C55" s="13" t="n">
        <f aca="false">SUMPRODUCT(ISNUMBER(SEARCH("(Collected)",Checklist!$S$5:$S$300))*1)</f>
        <v>0</v>
      </c>
    </row>
    <row r="56" customFormat="false" ht="15" hidden="false" customHeight="false" outlineLevel="0" collapsed="false">
      <c r="B56" s="5" t="s">
        <v>1009</v>
      </c>
      <c r="C56" s="13" t="n">
        <f aca="false">SUMPRODUCT(ISNUMBER(SEARCH("(Partial)",Checklist!$S$5:$S$300))*1)</f>
        <v>0</v>
      </c>
    </row>
    <row r="57" customFormat="false" ht="15" hidden="false" customHeight="false" outlineLevel="0" collapsed="false">
      <c r="B57" s="5" t="s">
        <v>1010</v>
      </c>
      <c r="C57" s="13" t="n">
        <f aca="false">SUMPRODUCT((LEFT(Checklist!$S$5:$S$300,9)="Attention")*1)</f>
        <v>0</v>
      </c>
    </row>
    <row r="58" customFormat="false" ht="15" hidden="false" customHeight="false" outlineLevel="0" collapsed="false">
      <c r="B58" s="5" t="s">
        <v>1011</v>
      </c>
      <c r="C58" s="13" t="n">
        <f aca="false">COUNTIF(Checklist!$S$5:$S$300,"Not run")</f>
        <v>0</v>
      </c>
    </row>
    <row r="59" customFormat="false" ht="15" hidden="false" customHeight="false" outlineLevel="0" collapsed="false">
      <c r="B59" s="5" t="s">
        <v>1012</v>
      </c>
      <c r="C59" s="13" t="n">
        <f aca="false">COUNTIF(Checklist!$S$5:$S$300,"Not collected")</f>
        <v>0</v>
      </c>
    </row>
    <row r="60" customFormat="false" ht="15" hidden="false" customHeight="false" outlineLevel="0" collapsed="false">
      <c r="B60" s="5" t="s">
        <v>1013</v>
      </c>
      <c r="C60" s="13" t="n">
        <f aca="false">COUNTIF(Checklist!$S$5:$S$300,"Manual")</f>
        <v>0</v>
      </c>
    </row>
    <row r="61" customFormat="false" ht="15" hidden="false" customHeight="false" outlineLevel="0" collapsed="false">
      <c r="B61" s="5" t="s">
        <v>1014</v>
      </c>
      <c r="C61" s="13" t="n">
        <f aca="false">COUNTIFS(Checklist!$A$5:$A$300,"&lt;&gt;",Checklist!$S$5:$S$300,"")</f>
        <v>124</v>
      </c>
    </row>
    <row r="63" customFormat="false" ht="15" hidden="false" customHeight="false" outlineLevel="0" collapsed="false">
      <c r="A63" s="26"/>
    </row>
    <row r="64" customFormat="false" ht="15" hidden="false" customHeight="false" outlineLevel="0" collapsed="false">
      <c r="A64" s="3" t="s">
        <v>1015</v>
      </c>
    </row>
    <row r="65" customFormat="false" ht="15" hidden="false" customHeight="false" outlineLevel="0" collapsed="false">
      <c r="P65" s="8" t="s">
        <v>85</v>
      </c>
      <c r="Q65" s="8" t="s">
        <v>1016</v>
      </c>
    </row>
    <row r="66" customFormat="false" ht="15" hidden="false" customHeight="false" outlineLevel="0" collapsed="false">
      <c r="P66" s="19" t="str">
        <f aca="false">IF(I6="","",I6)</f>
        <v/>
      </c>
      <c r="Q66" s="5" t="s">
        <v>176</v>
      </c>
    </row>
    <row r="67" customFormat="false" ht="15" hidden="false" customHeight="false" outlineLevel="0" collapsed="false">
      <c r="P67" s="19" t="str">
        <f aca="false">IF(I7="","",I7)</f>
        <v/>
      </c>
      <c r="Q67" s="5" t="s">
        <v>265</v>
      </c>
    </row>
    <row r="68" customFormat="false" ht="15" hidden="false" customHeight="false" outlineLevel="0" collapsed="false">
      <c r="P68" s="19" t="str">
        <f aca="false">IF(I8="","",I8)</f>
        <v/>
      </c>
      <c r="Q68" s="5" t="s">
        <v>341</v>
      </c>
    </row>
    <row r="69" customFormat="false" ht="15" hidden="false" customHeight="false" outlineLevel="0" collapsed="false">
      <c r="P69" s="19" t="str">
        <f aca="false">IF(I9="","",I9)</f>
        <v/>
      </c>
      <c r="Q69" s="5" t="s">
        <v>444</v>
      </c>
    </row>
    <row r="70" customFormat="false" ht="15" hidden="false" customHeight="false" outlineLevel="0" collapsed="false">
      <c r="P70" s="19" t="str">
        <f aca="false">IF(I10="","",I10)</f>
        <v/>
      </c>
      <c r="Q70" s="5" t="s">
        <v>526</v>
      </c>
    </row>
    <row r="71" customFormat="false" ht="15" hidden="false" customHeight="false" outlineLevel="0" collapsed="false">
      <c r="P71" s="19" t="str">
        <f aca="false">IF(I11="","",I11)</f>
        <v/>
      </c>
      <c r="Q71" s="5" t="s">
        <v>600</v>
      </c>
    </row>
    <row r="72" customFormat="false" ht="15" hidden="false" customHeight="false" outlineLevel="0" collapsed="false">
      <c r="P72" s="19" t="str">
        <f aca="false">IF(I12="","",I12)</f>
        <v/>
      </c>
      <c r="Q72" s="5" t="s">
        <v>662</v>
      </c>
    </row>
    <row r="73" customFormat="false" ht="15" hidden="false" customHeight="false" outlineLevel="0" collapsed="false">
      <c r="P73" s="19" t="str">
        <f aca="false">IF(I13="","",I13)</f>
        <v/>
      </c>
      <c r="Q73" s="5" t="s">
        <v>725</v>
      </c>
    </row>
    <row r="74" customFormat="false" ht="15" hidden="false" customHeight="false" outlineLevel="0" collapsed="false">
      <c r="P74" s="19" t="str">
        <f aca="false">IF(I14="","",I14)</f>
        <v/>
      </c>
      <c r="Q74" s="5" t="s">
        <v>800</v>
      </c>
    </row>
    <row r="75" customFormat="false" ht="15" hidden="false" customHeight="false" outlineLevel="0" collapsed="false">
      <c r="P75" s="19" t="str">
        <f aca="false">IF(I15="","",I15)</f>
        <v/>
      </c>
      <c r="Q75" s="5" t="s">
        <v>851</v>
      </c>
    </row>
    <row r="76" customFormat="false" ht="15" hidden="false" customHeight="false" outlineLevel="0" collapsed="false">
      <c r="P76" s="19" t="str">
        <f aca="false">IF(I16="","",I16)</f>
        <v/>
      </c>
      <c r="Q76" s="5" t="s">
        <v>907</v>
      </c>
    </row>
    <row r="77" customFormat="false" ht="15" hidden="false" customHeight="false" outlineLevel="0" collapsed="false">
      <c r="P77" s="19" t="str">
        <f aca="false">IF(I17="","",I17)</f>
        <v/>
      </c>
      <c r="Q77" s="5" t="s">
        <v>971</v>
      </c>
    </row>
  </sheetData>
  <mergeCells count="1">
    <mergeCell ref="J42:N50"/>
  </mergeCells>
  <conditionalFormatting sqref="J6:J17">
    <cfRule type="expression" priority="2" aboveAverage="0" equalAverage="0" bottom="0" percent="0" rank="0" text="" dxfId="10">
      <formula>J6="Green"</formula>
    </cfRule>
    <cfRule type="expression" priority="3" aboveAverage="0" equalAverage="0" bottom="0" percent="0" rank="0" text="" dxfId="9">
      <formula>J6="Amber"</formula>
    </cfRule>
    <cfRule type="expression" priority="4" aboveAverage="0" equalAverage="0" bottom="0" percent="0" rank="0" text="" dxfId="8">
      <formula>J6="Red"</formula>
    </cfRule>
  </conditionalFormatting>
  <conditionalFormatting sqref="I6:I17">
    <cfRule type="colorScale" priority="5">
      <colorScale>
        <cfvo type="num" val="0"/>
        <cfvo type="num" val="0.65"/>
        <cfvo type="num" val="1"/>
        <color rgb="FFF8696B"/>
        <color rgb="FFFFEB84"/>
        <color rgb="FF63BE7B"/>
      </colorScale>
    </cfRule>
  </conditionalFormatting>
  <conditionalFormatting sqref="F43:F50">
    <cfRule type="expression" priority="6" aboveAverage="0" equalAverage="0" bottom="0" percent="0" rank="0" text="" dxfId="8">
      <formula>F43="Below ML1"</formula>
    </cfRule>
    <cfRule type="expression" priority="7" aboveAverage="0" equalAverage="0" bottom="0" percent="0" rank="0" text="" dxfId="10">
      <formula>F43="~ML1"</formula>
    </cfRule>
    <cfRule type="expression" priority="8" aboveAverage="0" equalAverage="0" bottom="0" percent="0" rank="0" text="" dxfId="11">
      <formula>LEFT(F43,4)="~ML2"</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true" outlineLevel="0" max="1" min="1" style="0" width="8"/>
    <col collapsed="false" customWidth="true" hidden="false" outlineLevel="0" max="2" min="2" style="0" width="5"/>
    <col collapsed="false" customWidth="true" hidden="false" outlineLevel="0" max="3" min="3" style="0" width="9"/>
    <col collapsed="false" customWidth="true" hidden="false" outlineLevel="0" max="4" min="4" style="0" width="7"/>
    <col collapsed="false" customWidth="true" hidden="false" outlineLevel="0" max="5" min="5" style="0" width="46"/>
    <col collapsed="false" customWidth="true" hidden="false" outlineLevel="0" max="6" min="6" style="0" width="8"/>
    <col collapsed="false" customWidth="true" hidden="false" outlineLevel="0" max="8" min="7" style="0" width="6"/>
    <col collapsed="false" customWidth="true" hidden="false" outlineLevel="0" max="9" min="9" style="0" width="8"/>
    <col collapsed="false" customWidth="true" hidden="false" outlineLevel="0" max="10" min="10" style="0" width="12"/>
    <col collapsed="false" customWidth="true" hidden="false" outlineLevel="0" max="11" min="11" style="0" width="44"/>
    <col collapsed="false" customWidth="true" hidden="false" outlineLevel="0" max="12" min="12" style="0" width="8"/>
    <col collapsed="false" customWidth="true" hidden="false" outlineLevel="0" max="13" min="13" style="0" width="22"/>
    <col collapsed="false" customWidth="true" hidden="false" outlineLevel="0" max="14" min="14" style="0" width="30"/>
  </cols>
  <sheetData>
    <row r="1" customFormat="false" ht="19.7" hidden="false" customHeight="false" outlineLevel="0" collapsed="false">
      <c r="B1" s="1" t="s">
        <v>1017</v>
      </c>
    </row>
    <row r="2" customFormat="false" ht="15" hidden="false" customHeight="false" outlineLevel="0" collapsed="false">
      <c r="B2" s="2" t="s">
        <v>1018</v>
      </c>
    </row>
    <row r="4" customFormat="false" ht="23.85" hidden="false" customHeight="false" outlineLevel="0" collapsed="false">
      <c r="A4" s="8" t="s">
        <v>1019</v>
      </c>
      <c r="B4" s="8" t="s">
        <v>1020</v>
      </c>
      <c r="C4" s="8" t="s">
        <v>64</v>
      </c>
      <c r="D4" s="8" t="s">
        <v>143</v>
      </c>
      <c r="E4" s="8" t="s">
        <v>1021</v>
      </c>
      <c r="F4" s="8" t="s">
        <v>44</v>
      </c>
      <c r="G4" s="8" t="s">
        <v>1022</v>
      </c>
      <c r="H4" s="8" t="s">
        <v>1023</v>
      </c>
      <c r="I4" s="8" t="s">
        <v>155</v>
      </c>
      <c r="J4" s="8" t="s">
        <v>70</v>
      </c>
      <c r="K4" s="8" t="s">
        <v>73</v>
      </c>
      <c r="L4" s="8" t="s">
        <v>159</v>
      </c>
      <c r="M4" s="8" t="s">
        <v>160</v>
      </c>
      <c r="N4" s="8" t="s">
        <v>1024</v>
      </c>
    </row>
    <row r="5" customFormat="false" ht="42" hidden="false" customHeight="true" outlineLevel="0" collapsed="false">
      <c r="A5" s="5" t="str">
        <f aca="false">IFERROR(SMALL(Checklist!$AC$5:$AC$300,1),"")</f>
        <v/>
      </c>
      <c r="B5" s="13" t="n">
        <v>1</v>
      </c>
      <c r="C5" s="13" t="str">
        <f aca="false">IF($A5="","",INDEX(Checklist!$A$5:$A$300,MATCH($A5,Checklist!$AC$5:$AC$300,0)))</f>
        <v/>
      </c>
      <c r="D5" s="13" t="str">
        <f aca="false">IF($A5="","",INDEX(Checklist!$B$5:$B$300,MATCH($A5,Checklist!$AC$5:$AC$300,0)))</f>
        <v/>
      </c>
      <c r="E5" s="5" t="str">
        <f aca="false">IF($A5="","",INDEX(Checklist!$D$5:$D$300,MATCH($A5,Checklist!$AC$5:$AC$300,0)))</f>
        <v/>
      </c>
      <c r="F5" s="13" t="str">
        <f aca="false">IF($A5="","",INDEX(Checklist!$P$5:$P$300,MATCH($A5,Checklist!$AC$5:$AC$300,0)))</f>
        <v/>
      </c>
      <c r="G5" s="13" t="str">
        <f aca="false">IF($A5="","",INDEX(Checklist!$N$5:$N$300,MATCH($A5,Checklist!$AC$5:$AC$300,0)))</f>
        <v/>
      </c>
      <c r="H5" s="13" t="str">
        <f aca="false">IF($A5="","",INDEX(Checklist!$O$5:$O$300,MATCH($A5,Checklist!$AC$5:$AC$300,0)))</f>
        <v/>
      </c>
      <c r="I5" s="13" t="str">
        <f aca="false">IF($A5="","",INDEX(Checklist!$Q$5:$Q$300,MATCH($A5,Checklist!$AC$5:$AC$300,0)))</f>
        <v/>
      </c>
      <c r="J5" s="13" t="str">
        <f aca="false">IF($A5="","",INDEX(Checklist!$R$5:$R$300,MATCH($A5,Checklist!$AC$5:$AC$300,0)))</f>
        <v/>
      </c>
      <c r="K5" s="5" t="str">
        <f aca="false">IF($A5="","",INDEX(Checklist!$V$5:$V$300,MATCH($A5,Checklist!$AC$5:$AC$300,0)))</f>
        <v/>
      </c>
      <c r="L5" s="13" t="str">
        <f aca="false">IF($A5="","",INDEX(Checklist!$W$5:$W$300,MATCH($A5,Checklist!$AC$5:$AC$300,0)))</f>
        <v/>
      </c>
      <c r="M5" s="5" t="str">
        <f aca="false">IF($A5="","",INDEX(Checklist!$X$5:$X$300,MATCH($A5,Checklist!$AC$5:$AC$300,0)))</f>
        <v/>
      </c>
      <c r="N5" s="5" t="str">
        <f aca="false">IF($A5="","",INDEX(Checklist!$U$5:$U$300,MATCH($A5,Checklist!$AC$5:$AC$300,0)))</f>
        <v/>
      </c>
    </row>
    <row r="6" customFormat="false" ht="42" hidden="false" customHeight="true" outlineLevel="0" collapsed="false">
      <c r="A6" s="5" t="str">
        <f aca="false">IFERROR(SMALL(Checklist!$AC$5:$AC$300,2),"")</f>
        <v/>
      </c>
      <c r="B6" s="13" t="n">
        <v>2</v>
      </c>
      <c r="C6" s="13" t="str">
        <f aca="false">IF($A6="","",INDEX(Checklist!$A$5:$A$300,MATCH($A6,Checklist!$AC$5:$AC$300,0)))</f>
        <v/>
      </c>
      <c r="D6" s="13" t="str">
        <f aca="false">IF($A6="","",INDEX(Checklist!$B$5:$B$300,MATCH($A6,Checklist!$AC$5:$AC$300,0)))</f>
        <v/>
      </c>
      <c r="E6" s="5" t="str">
        <f aca="false">IF($A6="","",INDEX(Checklist!$D$5:$D$300,MATCH($A6,Checklist!$AC$5:$AC$300,0)))</f>
        <v/>
      </c>
      <c r="F6" s="13" t="str">
        <f aca="false">IF($A6="","",INDEX(Checklist!$P$5:$P$300,MATCH($A6,Checklist!$AC$5:$AC$300,0)))</f>
        <v/>
      </c>
      <c r="G6" s="13" t="str">
        <f aca="false">IF($A6="","",INDEX(Checklist!$N$5:$N$300,MATCH($A6,Checklist!$AC$5:$AC$300,0)))</f>
        <v/>
      </c>
      <c r="H6" s="13" t="str">
        <f aca="false">IF($A6="","",INDEX(Checklist!$O$5:$O$300,MATCH($A6,Checklist!$AC$5:$AC$300,0)))</f>
        <v/>
      </c>
      <c r="I6" s="13" t="str">
        <f aca="false">IF($A6="","",INDEX(Checklist!$Q$5:$Q$300,MATCH($A6,Checklist!$AC$5:$AC$300,0)))</f>
        <v/>
      </c>
      <c r="J6" s="13" t="str">
        <f aca="false">IF($A6="","",INDEX(Checklist!$R$5:$R$300,MATCH($A6,Checklist!$AC$5:$AC$300,0)))</f>
        <v/>
      </c>
      <c r="K6" s="5" t="str">
        <f aca="false">IF($A6="","",INDEX(Checklist!$V$5:$V$300,MATCH($A6,Checklist!$AC$5:$AC$300,0)))</f>
        <v/>
      </c>
      <c r="L6" s="13" t="str">
        <f aca="false">IF($A6="","",INDEX(Checklist!$W$5:$W$300,MATCH($A6,Checklist!$AC$5:$AC$300,0)))</f>
        <v/>
      </c>
      <c r="M6" s="5" t="str">
        <f aca="false">IF($A6="","",INDEX(Checklist!$X$5:$X$300,MATCH($A6,Checklist!$AC$5:$AC$300,0)))</f>
        <v/>
      </c>
      <c r="N6" s="5" t="str">
        <f aca="false">IF($A6="","",INDEX(Checklist!$U$5:$U$300,MATCH($A6,Checklist!$AC$5:$AC$300,0)))</f>
        <v/>
      </c>
    </row>
    <row r="7" customFormat="false" ht="42" hidden="false" customHeight="true" outlineLevel="0" collapsed="false">
      <c r="A7" s="5" t="str">
        <f aca="false">IFERROR(SMALL(Checklist!$AC$5:$AC$300,3),"")</f>
        <v/>
      </c>
      <c r="B7" s="13" t="n">
        <v>3</v>
      </c>
      <c r="C7" s="13" t="str">
        <f aca="false">IF($A7="","",INDEX(Checklist!$A$5:$A$300,MATCH($A7,Checklist!$AC$5:$AC$300,0)))</f>
        <v/>
      </c>
      <c r="D7" s="13" t="str">
        <f aca="false">IF($A7="","",INDEX(Checklist!$B$5:$B$300,MATCH($A7,Checklist!$AC$5:$AC$300,0)))</f>
        <v/>
      </c>
      <c r="E7" s="5" t="str">
        <f aca="false">IF($A7="","",INDEX(Checklist!$D$5:$D$300,MATCH($A7,Checklist!$AC$5:$AC$300,0)))</f>
        <v/>
      </c>
      <c r="F7" s="13" t="str">
        <f aca="false">IF($A7="","",INDEX(Checklist!$P$5:$P$300,MATCH($A7,Checklist!$AC$5:$AC$300,0)))</f>
        <v/>
      </c>
      <c r="G7" s="13" t="str">
        <f aca="false">IF($A7="","",INDEX(Checklist!$N$5:$N$300,MATCH($A7,Checklist!$AC$5:$AC$300,0)))</f>
        <v/>
      </c>
      <c r="H7" s="13" t="str">
        <f aca="false">IF($A7="","",INDEX(Checklist!$O$5:$O$300,MATCH($A7,Checklist!$AC$5:$AC$300,0)))</f>
        <v/>
      </c>
      <c r="I7" s="13" t="str">
        <f aca="false">IF($A7="","",INDEX(Checklist!$Q$5:$Q$300,MATCH($A7,Checklist!$AC$5:$AC$300,0)))</f>
        <v/>
      </c>
      <c r="J7" s="13" t="str">
        <f aca="false">IF($A7="","",INDEX(Checklist!$R$5:$R$300,MATCH($A7,Checklist!$AC$5:$AC$300,0)))</f>
        <v/>
      </c>
      <c r="K7" s="5" t="str">
        <f aca="false">IF($A7="","",INDEX(Checklist!$V$5:$V$300,MATCH($A7,Checklist!$AC$5:$AC$300,0)))</f>
        <v/>
      </c>
      <c r="L7" s="13" t="str">
        <f aca="false">IF($A7="","",INDEX(Checklist!$W$5:$W$300,MATCH($A7,Checklist!$AC$5:$AC$300,0)))</f>
        <v/>
      </c>
      <c r="M7" s="5" t="str">
        <f aca="false">IF($A7="","",INDEX(Checklist!$X$5:$X$300,MATCH($A7,Checklist!$AC$5:$AC$300,0)))</f>
        <v/>
      </c>
      <c r="N7" s="5" t="str">
        <f aca="false">IF($A7="","",INDEX(Checklist!$U$5:$U$300,MATCH($A7,Checklist!$AC$5:$AC$300,0)))</f>
        <v/>
      </c>
    </row>
    <row r="8" customFormat="false" ht="42" hidden="false" customHeight="true" outlineLevel="0" collapsed="false">
      <c r="A8" s="5" t="str">
        <f aca="false">IFERROR(SMALL(Checklist!$AC$5:$AC$300,4),"")</f>
        <v/>
      </c>
      <c r="B8" s="13" t="n">
        <v>4</v>
      </c>
      <c r="C8" s="13" t="str">
        <f aca="false">IF($A8="","",INDEX(Checklist!$A$5:$A$300,MATCH($A8,Checklist!$AC$5:$AC$300,0)))</f>
        <v/>
      </c>
      <c r="D8" s="13" t="str">
        <f aca="false">IF($A8="","",INDEX(Checklist!$B$5:$B$300,MATCH($A8,Checklist!$AC$5:$AC$300,0)))</f>
        <v/>
      </c>
      <c r="E8" s="5" t="str">
        <f aca="false">IF($A8="","",INDEX(Checklist!$D$5:$D$300,MATCH($A8,Checklist!$AC$5:$AC$300,0)))</f>
        <v/>
      </c>
      <c r="F8" s="13" t="str">
        <f aca="false">IF($A8="","",INDEX(Checklist!$P$5:$P$300,MATCH($A8,Checklist!$AC$5:$AC$300,0)))</f>
        <v/>
      </c>
      <c r="G8" s="13" t="str">
        <f aca="false">IF($A8="","",INDEX(Checklist!$N$5:$N$300,MATCH($A8,Checklist!$AC$5:$AC$300,0)))</f>
        <v/>
      </c>
      <c r="H8" s="13" t="str">
        <f aca="false">IF($A8="","",INDEX(Checklist!$O$5:$O$300,MATCH($A8,Checklist!$AC$5:$AC$300,0)))</f>
        <v/>
      </c>
      <c r="I8" s="13" t="str">
        <f aca="false">IF($A8="","",INDEX(Checklist!$Q$5:$Q$300,MATCH($A8,Checklist!$AC$5:$AC$300,0)))</f>
        <v/>
      </c>
      <c r="J8" s="13" t="str">
        <f aca="false">IF($A8="","",INDEX(Checklist!$R$5:$R$300,MATCH($A8,Checklist!$AC$5:$AC$300,0)))</f>
        <v/>
      </c>
      <c r="K8" s="5" t="str">
        <f aca="false">IF($A8="","",INDEX(Checklist!$V$5:$V$300,MATCH($A8,Checklist!$AC$5:$AC$300,0)))</f>
        <v/>
      </c>
      <c r="L8" s="13" t="str">
        <f aca="false">IF($A8="","",INDEX(Checklist!$W$5:$W$300,MATCH($A8,Checklist!$AC$5:$AC$300,0)))</f>
        <v/>
      </c>
      <c r="M8" s="5" t="str">
        <f aca="false">IF($A8="","",INDEX(Checklist!$X$5:$X$300,MATCH($A8,Checklist!$AC$5:$AC$300,0)))</f>
        <v/>
      </c>
      <c r="N8" s="5" t="str">
        <f aca="false">IF($A8="","",INDEX(Checklist!$U$5:$U$300,MATCH($A8,Checklist!$AC$5:$AC$300,0)))</f>
        <v/>
      </c>
    </row>
    <row r="9" customFormat="false" ht="42" hidden="false" customHeight="true" outlineLevel="0" collapsed="false">
      <c r="A9" s="5" t="str">
        <f aca="false">IFERROR(SMALL(Checklist!$AC$5:$AC$300,5),"")</f>
        <v/>
      </c>
      <c r="B9" s="13" t="n">
        <v>5</v>
      </c>
      <c r="C9" s="13" t="str">
        <f aca="false">IF($A9="","",INDEX(Checklist!$A$5:$A$300,MATCH($A9,Checklist!$AC$5:$AC$300,0)))</f>
        <v/>
      </c>
      <c r="D9" s="13" t="str">
        <f aca="false">IF($A9="","",INDEX(Checklist!$B$5:$B$300,MATCH($A9,Checklist!$AC$5:$AC$300,0)))</f>
        <v/>
      </c>
      <c r="E9" s="5" t="str">
        <f aca="false">IF($A9="","",INDEX(Checklist!$D$5:$D$300,MATCH($A9,Checklist!$AC$5:$AC$300,0)))</f>
        <v/>
      </c>
      <c r="F9" s="13" t="str">
        <f aca="false">IF($A9="","",INDEX(Checklist!$P$5:$P$300,MATCH($A9,Checklist!$AC$5:$AC$300,0)))</f>
        <v/>
      </c>
      <c r="G9" s="13" t="str">
        <f aca="false">IF($A9="","",INDEX(Checklist!$N$5:$N$300,MATCH($A9,Checklist!$AC$5:$AC$300,0)))</f>
        <v/>
      </c>
      <c r="H9" s="13" t="str">
        <f aca="false">IF($A9="","",INDEX(Checklist!$O$5:$O$300,MATCH($A9,Checklist!$AC$5:$AC$300,0)))</f>
        <v/>
      </c>
      <c r="I9" s="13" t="str">
        <f aca="false">IF($A9="","",INDEX(Checklist!$Q$5:$Q$300,MATCH($A9,Checklist!$AC$5:$AC$300,0)))</f>
        <v/>
      </c>
      <c r="J9" s="13" t="str">
        <f aca="false">IF($A9="","",INDEX(Checklist!$R$5:$R$300,MATCH($A9,Checklist!$AC$5:$AC$300,0)))</f>
        <v/>
      </c>
      <c r="K9" s="5" t="str">
        <f aca="false">IF($A9="","",INDEX(Checklist!$V$5:$V$300,MATCH($A9,Checklist!$AC$5:$AC$300,0)))</f>
        <v/>
      </c>
      <c r="L9" s="13" t="str">
        <f aca="false">IF($A9="","",INDEX(Checklist!$W$5:$W$300,MATCH($A9,Checklist!$AC$5:$AC$300,0)))</f>
        <v/>
      </c>
      <c r="M9" s="5" t="str">
        <f aca="false">IF($A9="","",INDEX(Checklist!$X$5:$X$300,MATCH($A9,Checklist!$AC$5:$AC$300,0)))</f>
        <v/>
      </c>
      <c r="N9" s="5" t="str">
        <f aca="false">IF($A9="","",INDEX(Checklist!$U$5:$U$300,MATCH($A9,Checklist!$AC$5:$AC$300,0)))</f>
        <v/>
      </c>
    </row>
    <row r="10" customFormat="false" ht="42" hidden="false" customHeight="true" outlineLevel="0" collapsed="false">
      <c r="A10" s="5" t="str">
        <f aca="false">IFERROR(SMALL(Checklist!$AC$5:$AC$300,6),"")</f>
        <v/>
      </c>
      <c r="B10" s="13" t="n">
        <v>6</v>
      </c>
      <c r="C10" s="13" t="str">
        <f aca="false">IF($A10="","",INDEX(Checklist!$A$5:$A$300,MATCH($A10,Checklist!$AC$5:$AC$300,0)))</f>
        <v/>
      </c>
      <c r="D10" s="13" t="str">
        <f aca="false">IF($A10="","",INDEX(Checklist!$B$5:$B$300,MATCH($A10,Checklist!$AC$5:$AC$300,0)))</f>
        <v/>
      </c>
      <c r="E10" s="5" t="str">
        <f aca="false">IF($A10="","",INDEX(Checklist!$D$5:$D$300,MATCH($A10,Checklist!$AC$5:$AC$300,0)))</f>
        <v/>
      </c>
      <c r="F10" s="13" t="str">
        <f aca="false">IF($A10="","",INDEX(Checklist!$P$5:$P$300,MATCH($A10,Checklist!$AC$5:$AC$300,0)))</f>
        <v/>
      </c>
      <c r="G10" s="13" t="str">
        <f aca="false">IF($A10="","",INDEX(Checklist!$N$5:$N$300,MATCH($A10,Checklist!$AC$5:$AC$300,0)))</f>
        <v/>
      </c>
      <c r="H10" s="13" t="str">
        <f aca="false">IF($A10="","",INDEX(Checklist!$O$5:$O$300,MATCH($A10,Checklist!$AC$5:$AC$300,0)))</f>
        <v/>
      </c>
      <c r="I10" s="13" t="str">
        <f aca="false">IF($A10="","",INDEX(Checklist!$Q$5:$Q$300,MATCH($A10,Checklist!$AC$5:$AC$300,0)))</f>
        <v/>
      </c>
      <c r="J10" s="13" t="str">
        <f aca="false">IF($A10="","",INDEX(Checklist!$R$5:$R$300,MATCH($A10,Checklist!$AC$5:$AC$300,0)))</f>
        <v/>
      </c>
      <c r="K10" s="5" t="str">
        <f aca="false">IF($A10="","",INDEX(Checklist!$V$5:$V$300,MATCH($A10,Checklist!$AC$5:$AC$300,0)))</f>
        <v/>
      </c>
      <c r="L10" s="13" t="str">
        <f aca="false">IF($A10="","",INDEX(Checklist!$W$5:$W$300,MATCH($A10,Checklist!$AC$5:$AC$300,0)))</f>
        <v/>
      </c>
      <c r="M10" s="5" t="str">
        <f aca="false">IF($A10="","",INDEX(Checklist!$X$5:$X$300,MATCH($A10,Checklist!$AC$5:$AC$300,0)))</f>
        <v/>
      </c>
      <c r="N10" s="5" t="str">
        <f aca="false">IF($A10="","",INDEX(Checklist!$U$5:$U$300,MATCH($A10,Checklist!$AC$5:$AC$300,0)))</f>
        <v/>
      </c>
    </row>
    <row r="11" customFormat="false" ht="42" hidden="false" customHeight="true" outlineLevel="0" collapsed="false">
      <c r="A11" s="5" t="str">
        <f aca="false">IFERROR(SMALL(Checklist!$AC$5:$AC$300,7),"")</f>
        <v/>
      </c>
      <c r="B11" s="13" t="n">
        <v>7</v>
      </c>
      <c r="C11" s="13" t="str">
        <f aca="false">IF($A11="","",INDEX(Checklist!$A$5:$A$300,MATCH($A11,Checklist!$AC$5:$AC$300,0)))</f>
        <v/>
      </c>
      <c r="D11" s="13" t="str">
        <f aca="false">IF($A11="","",INDEX(Checklist!$B$5:$B$300,MATCH($A11,Checklist!$AC$5:$AC$300,0)))</f>
        <v/>
      </c>
      <c r="E11" s="5" t="str">
        <f aca="false">IF($A11="","",INDEX(Checklist!$D$5:$D$300,MATCH($A11,Checklist!$AC$5:$AC$300,0)))</f>
        <v/>
      </c>
      <c r="F11" s="13" t="str">
        <f aca="false">IF($A11="","",INDEX(Checklist!$P$5:$P$300,MATCH($A11,Checklist!$AC$5:$AC$300,0)))</f>
        <v/>
      </c>
      <c r="G11" s="13" t="str">
        <f aca="false">IF($A11="","",INDEX(Checklist!$N$5:$N$300,MATCH($A11,Checklist!$AC$5:$AC$300,0)))</f>
        <v/>
      </c>
      <c r="H11" s="13" t="str">
        <f aca="false">IF($A11="","",INDEX(Checklist!$O$5:$O$300,MATCH($A11,Checklist!$AC$5:$AC$300,0)))</f>
        <v/>
      </c>
      <c r="I11" s="13" t="str">
        <f aca="false">IF($A11="","",INDEX(Checklist!$Q$5:$Q$300,MATCH($A11,Checklist!$AC$5:$AC$300,0)))</f>
        <v/>
      </c>
      <c r="J11" s="13" t="str">
        <f aca="false">IF($A11="","",INDEX(Checklist!$R$5:$R$300,MATCH($A11,Checklist!$AC$5:$AC$300,0)))</f>
        <v/>
      </c>
      <c r="K11" s="5" t="str">
        <f aca="false">IF($A11="","",INDEX(Checklist!$V$5:$V$300,MATCH($A11,Checklist!$AC$5:$AC$300,0)))</f>
        <v/>
      </c>
      <c r="L11" s="13" t="str">
        <f aca="false">IF($A11="","",INDEX(Checklist!$W$5:$W$300,MATCH($A11,Checklist!$AC$5:$AC$300,0)))</f>
        <v/>
      </c>
      <c r="M11" s="5" t="str">
        <f aca="false">IF($A11="","",INDEX(Checklist!$X$5:$X$300,MATCH($A11,Checklist!$AC$5:$AC$300,0)))</f>
        <v/>
      </c>
      <c r="N11" s="5" t="str">
        <f aca="false">IF($A11="","",INDEX(Checklist!$U$5:$U$300,MATCH($A11,Checklist!$AC$5:$AC$300,0)))</f>
        <v/>
      </c>
    </row>
    <row r="12" customFormat="false" ht="42" hidden="false" customHeight="true" outlineLevel="0" collapsed="false">
      <c r="A12" s="5" t="str">
        <f aca="false">IFERROR(SMALL(Checklist!$AC$5:$AC$300,8),"")</f>
        <v/>
      </c>
      <c r="B12" s="13" t="n">
        <v>8</v>
      </c>
      <c r="C12" s="13" t="str">
        <f aca="false">IF($A12="","",INDEX(Checklist!$A$5:$A$300,MATCH($A12,Checklist!$AC$5:$AC$300,0)))</f>
        <v/>
      </c>
      <c r="D12" s="13" t="str">
        <f aca="false">IF($A12="","",INDEX(Checklist!$B$5:$B$300,MATCH($A12,Checklist!$AC$5:$AC$300,0)))</f>
        <v/>
      </c>
      <c r="E12" s="5" t="str">
        <f aca="false">IF($A12="","",INDEX(Checklist!$D$5:$D$300,MATCH($A12,Checklist!$AC$5:$AC$300,0)))</f>
        <v/>
      </c>
      <c r="F12" s="13" t="str">
        <f aca="false">IF($A12="","",INDEX(Checklist!$P$5:$P$300,MATCH($A12,Checklist!$AC$5:$AC$300,0)))</f>
        <v/>
      </c>
      <c r="G12" s="13" t="str">
        <f aca="false">IF($A12="","",INDEX(Checklist!$N$5:$N$300,MATCH($A12,Checklist!$AC$5:$AC$300,0)))</f>
        <v/>
      </c>
      <c r="H12" s="13" t="str">
        <f aca="false">IF($A12="","",INDEX(Checklist!$O$5:$O$300,MATCH($A12,Checklist!$AC$5:$AC$300,0)))</f>
        <v/>
      </c>
      <c r="I12" s="13" t="str">
        <f aca="false">IF($A12="","",INDEX(Checklist!$Q$5:$Q$300,MATCH($A12,Checklist!$AC$5:$AC$300,0)))</f>
        <v/>
      </c>
      <c r="J12" s="13" t="str">
        <f aca="false">IF($A12="","",INDEX(Checklist!$R$5:$R$300,MATCH($A12,Checklist!$AC$5:$AC$300,0)))</f>
        <v/>
      </c>
      <c r="K12" s="5" t="str">
        <f aca="false">IF($A12="","",INDEX(Checklist!$V$5:$V$300,MATCH($A12,Checklist!$AC$5:$AC$300,0)))</f>
        <v/>
      </c>
      <c r="L12" s="13" t="str">
        <f aca="false">IF($A12="","",INDEX(Checklist!$W$5:$W$300,MATCH($A12,Checklist!$AC$5:$AC$300,0)))</f>
        <v/>
      </c>
      <c r="M12" s="5" t="str">
        <f aca="false">IF($A12="","",INDEX(Checklist!$X$5:$X$300,MATCH($A12,Checklist!$AC$5:$AC$300,0)))</f>
        <v/>
      </c>
      <c r="N12" s="5" t="str">
        <f aca="false">IF($A12="","",INDEX(Checklist!$U$5:$U$300,MATCH($A12,Checklist!$AC$5:$AC$300,0)))</f>
        <v/>
      </c>
    </row>
    <row r="13" customFormat="false" ht="42" hidden="false" customHeight="true" outlineLevel="0" collapsed="false">
      <c r="A13" s="5" t="str">
        <f aca="false">IFERROR(SMALL(Checklist!$AC$5:$AC$300,9),"")</f>
        <v/>
      </c>
      <c r="B13" s="13" t="n">
        <v>9</v>
      </c>
      <c r="C13" s="13" t="str">
        <f aca="false">IF($A13="","",INDEX(Checklist!$A$5:$A$300,MATCH($A13,Checklist!$AC$5:$AC$300,0)))</f>
        <v/>
      </c>
      <c r="D13" s="13" t="str">
        <f aca="false">IF($A13="","",INDEX(Checklist!$B$5:$B$300,MATCH($A13,Checklist!$AC$5:$AC$300,0)))</f>
        <v/>
      </c>
      <c r="E13" s="5" t="str">
        <f aca="false">IF($A13="","",INDEX(Checklist!$D$5:$D$300,MATCH($A13,Checklist!$AC$5:$AC$300,0)))</f>
        <v/>
      </c>
      <c r="F13" s="13" t="str">
        <f aca="false">IF($A13="","",INDEX(Checklist!$P$5:$P$300,MATCH($A13,Checklist!$AC$5:$AC$300,0)))</f>
        <v/>
      </c>
      <c r="G13" s="13" t="str">
        <f aca="false">IF($A13="","",INDEX(Checklist!$N$5:$N$300,MATCH($A13,Checklist!$AC$5:$AC$300,0)))</f>
        <v/>
      </c>
      <c r="H13" s="13" t="str">
        <f aca="false">IF($A13="","",INDEX(Checklist!$O$5:$O$300,MATCH($A13,Checklist!$AC$5:$AC$300,0)))</f>
        <v/>
      </c>
      <c r="I13" s="13" t="str">
        <f aca="false">IF($A13="","",INDEX(Checklist!$Q$5:$Q$300,MATCH($A13,Checklist!$AC$5:$AC$300,0)))</f>
        <v/>
      </c>
      <c r="J13" s="13" t="str">
        <f aca="false">IF($A13="","",INDEX(Checklist!$R$5:$R$300,MATCH($A13,Checklist!$AC$5:$AC$300,0)))</f>
        <v/>
      </c>
      <c r="K13" s="5" t="str">
        <f aca="false">IF($A13="","",INDEX(Checklist!$V$5:$V$300,MATCH($A13,Checklist!$AC$5:$AC$300,0)))</f>
        <v/>
      </c>
      <c r="L13" s="13" t="str">
        <f aca="false">IF($A13="","",INDEX(Checklist!$W$5:$W$300,MATCH($A13,Checklist!$AC$5:$AC$300,0)))</f>
        <v/>
      </c>
      <c r="M13" s="5" t="str">
        <f aca="false">IF($A13="","",INDEX(Checklist!$X$5:$X$300,MATCH($A13,Checklist!$AC$5:$AC$300,0)))</f>
        <v/>
      </c>
      <c r="N13" s="5" t="str">
        <f aca="false">IF($A13="","",INDEX(Checklist!$U$5:$U$300,MATCH($A13,Checklist!$AC$5:$AC$300,0)))</f>
        <v/>
      </c>
    </row>
    <row r="14" customFormat="false" ht="42" hidden="false" customHeight="true" outlineLevel="0" collapsed="false">
      <c r="A14" s="5" t="str">
        <f aca="false">IFERROR(SMALL(Checklist!$AC$5:$AC$300,10),"")</f>
        <v/>
      </c>
      <c r="B14" s="13" t="n">
        <v>10</v>
      </c>
      <c r="C14" s="13" t="str">
        <f aca="false">IF($A14="","",INDEX(Checklist!$A$5:$A$300,MATCH($A14,Checklist!$AC$5:$AC$300,0)))</f>
        <v/>
      </c>
      <c r="D14" s="13" t="str">
        <f aca="false">IF($A14="","",INDEX(Checklist!$B$5:$B$300,MATCH($A14,Checklist!$AC$5:$AC$300,0)))</f>
        <v/>
      </c>
      <c r="E14" s="5" t="str">
        <f aca="false">IF($A14="","",INDEX(Checklist!$D$5:$D$300,MATCH($A14,Checklist!$AC$5:$AC$300,0)))</f>
        <v/>
      </c>
      <c r="F14" s="13" t="str">
        <f aca="false">IF($A14="","",INDEX(Checklist!$P$5:$P$300,MATCH($A14,Checklist!$AC$5:$AC$300,0)))</f>
        <v/>
      </c>
      <c r="G14" s="13" t="str">
        <f aca="false">IF($A14="","",INDEX(Checklist!$N$5:$N$300,MATCH($A14,Checklist!$AC$5:$AC$300,0)))</f>
        <v/>
      </c>
      <c r="H14" s="13" t="str">
        <f aca="false">IF($A14="","",INDEX(Checklist!$O$5:$O$300,MATCH($A14,Checklist!$AC$5:$AC$300,0)))</f>
        <v/>
      </c>
      <c r="I14" s="13" t="str">
        <f aca="false">IF($A14="","",INDEX(Checklist!$Q$5:$Q$300,MATCH($A14,Checklist!$AC$5:$AC$300,0)))</f>
        <v/>
      </c>
      <c r="J14" s="13" t="str">
        <f aca="false">IF($A14="","",INDEX(Checklist!$R$5:$R$300,MATCH($A14,Checklist!$AC$5:$AC$300,0)))</f>
        <v/>
      </c>
      <c r="K14" s="5" t="str">
        <f aca="false">IF($A14="","",INDEX(Checklist!$V$5:$V$300,MATCH($A14,Checklist!$AC$5:$AC$300,0)))</f>
        <v/>
      </c>
      <c r="L14" s="13" t="str">
        <f aca="false">IF($A14="","",INDEX(Checklist!$W$5:$W$300,MATCH($A14,Checklist!$AC$5:$AC$300,0)))</f>
        <v/>
      </c>
      <c r="M14" s="5" t="str">
        <f aca="false">IF($A14="","",INDEX(Checklist!$X$5:$X$300,MATCH($A14,Checklist!$AC$5:$AC$300,0)))</f>
        <v/>
      </c>
      <c r="N14" s="5" t="str">
        <f aca="false">IF($A14="","",INDEX(Checklist!$U$5:$U$300,MATCH($A14,Checklist!$AC$5:$AC$300,0)))</f>
        <v/>
      </c>
    </row>
    <row r="15" customFormat="false" ht="42" hidden="false" customHeight="true" outlineLevel="0" collapsed="false">
      <c r="A15" s="5" t="str">
        <f aca="false">IFERROR(SMALL(Checklist!$AC$5:$AC$300,11),"")</f>
        <v/>
      </c>
      <c r="B15" s="13" t="n">
        <v>11</v>
      </c>
      <c r="C15" s="13" t="str">
        <f aca="false">IF($A15="","",INDEX(Checklist!$A$5:$A$300,MATCH($A15,Checklist!$AC$5:$AC$300,0)))</f>
        <v/>
      </c>
      <c r="D15" s="13" t="str">
        <f aca="false">IF($A15="","",INDEX(Checklist!$B$5:$B$300,MATCH($A15,Checklist!$AC$5:$AC$300,0)))</f>
        <v/>
      </c>
      <c r="E15" s="5" t="str">
        <f aca="false">IF($A15="","",INDEX(Checklist!$D$5:$D$300,MATCH($A15,Checklist!$AC$5:$AC$300,0)))</f>
        <v/>
      </c>
      <c r="F15" s="13" t="str">
        <f aca="false">IF($A15="","",INDEX(Checklist!$P$5:$P$300,MATCH($A15,Checklist!$AC$5:$AC$300,0)))</f>
        <v/>
      </c>
      <c r="G15" s="13" t="str">
        <f aca="false">IF($A15="","",INDEX(Checklist!$N$5:$N$300,MATCH($A15,Checklist!$AC$5:$AC$300,0)))</f>
        <v/>
      </c>
      <c r="H15" s="13" t="str">
        <f aca="false">IF($A15="","",INDEX(Checklist!$O$5:$O$300,MATCH($A15,Checklist!$AC$5:$AC$300,0)))</f>
        <v/>
      </c>
      <c r="I15" s="13" t="str">
        <f aca="false">IF($A15="","",INDEX(Checklist!$Q$5:$Q$300,MATCH($A15,Checklist!$AC$5:$AC$300,0)))</f>
        <v/>
      </c>
      <c r="J15" s="13" t="str">
        <f aca="false">IF($A15="","",INDEX(Checklist!$R$5:$R$300,MATCH($A15,Checklist!$AC$5:$AC$300,0)))</f>
        <v/>
      </c>
      <c r="K15" s="5" t="str">
        <f aca="false">IF($A15="","",INDEX(Checklist!$V$5:$V$300,MATCH($A15,Checklist!$AC$5:$AC$300,0)))</f>
        <v/>
      </c>
      <c r="L15" s="13" t="str">
        <f aca="false">IF($A15="","",INDEX(Checklist!$W$5:$W$300,MATCH($A15,Checklist!$AC$5:$AC$300,0)))</f>
        <v/>
      </c>
      <c r="M15" s="5" t="str">
        <f aca="false">IF($A15="","",INDEX(Checklist!$X$5:$X$300,MATCH($A15,Checklist!$AC$5:$AC$300,0)))</f>
        <v/>
      </c>
      <c r="N15" s="5" t="str">
        <f aca="false">IF($A15="","",INDEX(Checklist!$U$5:$U$300,MATCH($A15,Checklist!$AC$5:$AC$300,0)))</f>
        <v/>
      </c>
    </row>
    <row r="16" customFormat="false" ht="42" hidden="false" customHeight="true" outlineLevel="0" collapsed="false">
      <c r="A16" s="5" t="str">
        <f aca="false">IFERROR(SMALL(Checklist!$AC$5:$AC$300,12),"")</f>
        <v/>
      </c>
      <c r="B16" s="13" t="n">
        <v>12</v>
      </c>
      <c r="C16" s="13" t="str">
        <f aca="false">IF($A16="","",INDEX(Checklist!$A$5:$A$300,MATCH($A16,Checklist!$AC$5:$AC$300,0)))</f>
        <v/>
      </c>
      <c r="D16" s="13" t="str">
        <f aca="false">IF($A16="","",INDEX(Checklist!$B$5:$B$300,MATCH($A16,Checklist!$AC$5:$AC$300,0)))</f>
        <v/>
      </c>
      <c r="E16" s="5" t="str">
        <f aca="false">IF($A16="","",INDEX(Checklist!$D$5:$D$300,MATCH($A16,Checklist!$AC$5:$AC$300,0)))</f>
        <v/>
      </c>
      <c r="F16" s="13" t="str">
        <f aca="false">IF($A16="","",INDEX(Checklist!$P$5:$P$300,MATCH($A16,Checklist!$AC$5:$AC$300,0)))</f>
        <v/>
      </c>
      <c r="G16" s="13" t="str">
        <f aca="false">IF($A16="","",INDEX(Checklist!$N$5:$N$300,MATCH($A16,Checklist!$AC$5:$AC$300,0)))</f>
        <v/>
      </c>
      <c r="H16" s="13" t="str">
        <f aca="false">IF($A16="","",INDEX(Checklist!$O$5:$O$300,MATCH($A16,Checklist!$AC$5:$AC$300,0)))</f>
        <v/>
      </c>
      <c r="I16" s="13" t="str">
        <f aca="false">IF($A16="","",INDEX(Checklist!$Q$5:$Q$300,MATCH($A16,Checklist!$AC$5:$AC$300,0)))</f>
        <v/>
      </c>
      <c r="J16" s="13" t="str">
        <f aca="false">IF($A16="","",INDEX(Checklist!$R$5:$R$300,MATCH($A16,Checklist!$AC$5:$AC$300,0)))</f>
        <v/>
      </c>
      <c r="K16" s="5" t="str">
        <f aca="false">IF($A16="","",INDEX(Checklist!$V$5:$V$300,MATCH($A16,Checklist!$AC$5:$AC$300,0)))</f>
        <v/>
      </c>
      <c r="L16" s="13" t="str">
        <f aca="false">IF($A16="","",INDEX(Checklist!$W$5:$W$300,MATCH($A16,Checklist!$AC$5:$AC$300,0)))</f>
        <v/>
      </c>
      <c r="M16" s="5" t="str">
        <f aca="false">IF($A16="","",INDEX(Checklist!$X$5:$X$300,MATCH($A16,Checklist!$AC$5:$AC$300,0)))</f>
        <v/>
      </c>
      <c r="N16" s="5" t="str">
        <f aca="false">IF($A16="","",INDEX(Checklist!$U$5:$U$300,MATCH($A16,Checklist!$AC$5:$AC$300,0)))</f>
        <v/>
      </c>
    </row>
    <row r="17" customFormat="false" ht="42" hidden="false" customHeight="true" outlineLevel="0" collapsed="false">
      <c r="A17" s="5" t="str">
        <f aca="false">IFERROR(SMALL(Checklist!$AC$5:$AC$300,13),"")</f>
        <v/>
      </c>
      <c r="B17" s="13" t="n">
        <v>13</v>
      </c>
      <c r="C17" s="13" t="str">
        <f aca="false">IF($A17="","",INDEX(Checklist!$A$5:$A$300,MATCH($A17,Checklist!$AC$5:$AC$300,0)))</f>
        <v/>
      </c>
      <c r="D17" s="13" t="str">
        <f aca="false">IF($A17="","",INDEX(Checklist!$B$5:$B$300,MATCH($A17,Checklist!$AC$5:$AC$300,0)))</f>
        <v/>
      </c>
      <c r="E17" s="5" t="str">
        <f aca="false">IF($A17="","",INDEX(Checklist!$D$5:$D$300,MATCH($A17,Checklist!$AC$5:$AC$300,0)))</f>
        <v/>
      </c>
      <c r="F17" s="13" t="str">
        <f aca="false">IF($A17="","",INDEX(Checklist!$P$5:$P$300,MATCH($A17,Checklist!$AC$5:$AC$300,0)))</f>
        <v/>
      </c>
      <c r="G17" s="13" t="str">
        <f aca="false">IF($A17="","",INDEX(Checklist!$N$5:$N$300,MATCH($A17,Checklist!$AC$5:$AC$300,0)))</f>
        <v/>
      </c>
      <c r="H17" s="13" t="str">
        <f aca="false">IF($A17="","",INDEX(Checklist!$O$5:$O$300,MATCH($A17,Checklist!$AC$5:$AC$300,0)))</f>
        <v/>
      </c>
      <c r="I17" s="13" t="str">
        <f aca="false">IF($A17="","",INDEX(Checklist!$Q$5:$Q$300,MATCH($A17,Checklist!$AC$5:$AC$300,0)))</f>
        <v/>
      </c>
      <c r="J17" s="13" t="str">
        <f aca="false">IF($A17="","",INDEX(Checklist!$R$5:$R$300,MATCH($A17,Checklist!$AC$5:$AC$300,0)))</f>
        <v/>
      </c>
      <c r="K17" s="5" t="str">
        <f aca="false">IF($A17="","",INDEX(Checklist!$V$5:$V$300,MATCH($A17,Checklist!$AC$5:$AC$300,0)))</f>
        <v/>
      </c>
      <c r="L17" s="13" t="str">
        <f aca="false">IF($A17="","",INDEX(Checklist!$W$5:$W$300,MATCH($A17,Checklist!$AC$5:$AC$300,0)))</f>
        <v/>
      </c>
      <c r="M17" s="5" t="str">
        <f aca="false">IF($A17="","",INDEX(Checklist!$X$5:$X$300,MATCH($A17,Checklist!$AC$5:$AC$300,0)))</f>
        <v/>
      </c>
      <c r="N17" s="5" t="str">
        <f aca="false">IF($A17="","",INDEX(Checklist!$U$5:$U$300,MATCH($A17,Checklist!$AC$5:$AC$300,0)))</f>
        <v/>
      </c>
    </row>
    <row r="18" customFormat="false" ht="42" hidden="false" customHeight="true" outlineLevel="0" collapsed="false">
      <c r="A18" s="5" t="str">
        <f aca="false">IFERROR(SMALL(Checklist!$AC$5:$AC$300,14),"")</f>
        <v/>
      </c>
      <c r="B18" s="13" t="n">
        <v>14</v>
      </c>
      <c r="C18" s="13" t="str">
        <f aca="false">IF($A18="","",INDEX(Checklist!$A$5:$A$300,MATCH($A18,Checklist!$AC$5:$AC$300,0)))</f>
        <v/>
      </c>
      <c r="D18" s="13" t="str">
        <f aca="false">IF($A18="","",INDEX(Checklist!$B$5:$B$300,MATCH($A18,Checklist!$AC$5:$AC$300,0)))</f>
        <v/>
      </c>
      <c r="E18" s="5" t="str">
        <f aca="false">IF($A18="","",INDEX(Checklist!$D$5:$D$300,MATCH($A18,Checklist!$AC$5:$AC$300,0)))</f>
        <v/>
      </c>
      <c r="F18" s="13" t="str">
        <f aca="false">IF($A18="","",INDEX(Checklist!$P$5:$P$300,MATCH($A18,Checklist!$AC$5:$AC$300,0)))</f>
        <v/>
      </c>
      <c r="G18" s="13" t="str">
        <f aca="false">IF($A18="","",INDEX(Checklist!$N$5:$N$300,MATCH($A18,Checklist!$AC$5:$AC$300,0)))</f>
        <v/>
      </c>
      <c r="H18" s="13" t="str">
        <f aca="false">IF($A18="","",INDEX(Checklist!$O$5:$O$300,MATCH($A18,Checklist!$AC$5:$AC$300,0)))</f>
        <v/>
      </c>
      <c r="I18" s="13" t="str">
        <f aca="false">IF($A18="","",INDEX(Checklist!$Q$5:$Q$300,MATCH($A18,Checklist!$AC$5:$AC$300,0)))</f>
        <v/>
      </c>
      <c r="J18" s="13" t="str">
        <f aca="false">IF($A18="","",INDEX(Checklist!$R$5:$R$300,MATCH($A18,Checklist!$AC$5:$AC$300,0)))</f>
        <v/>
      </c>
      <c r="K18" s="5" t="str">
        <f aca="false">IF($A18="","",INDEX(Checklist!$V$5:$V$300,MATCH($A18,Checklist!$AC$5:$AC$300,0)))</f>
        <v/>
      </c>
      <c r="L18" s="13" t="str">
        <f aca="false">IF($A18="","",INDEX(Checklist!$W$5:$W$300,MATCH($A18,Checklist!$AC$5:$AC$300,0)))</f>
        <v/>
      </c>
      <c r="M18" s="5" t="str">
        <f aca="false">IF($A18="","",INDEX(Checklist!$X$5:$X$300,MATCH($A18,Checklist!$AC$5:$AC$300,0)))</f>
        <v/>
      </c>
      <c r="N18" s="5" t="str">
        <f aca="false">IF($A18="","",INDEX(Checklist!$U$5:$U$300,MATCH($A18,Checklist!$AC$5:$AC$300,0)))</f>
        <v/>
      </c>
    </row>
    <row r="19" customFormat="false" ht="42" hidden="false" customHeight="true" outlineLevel="0" collapsed="false">
      <c r="A19" s="5" t="str">
        <f aca="false">IFERROR(SMALL(Checklist!$AC$5:$AC$300,15),"")</f>
        <v/>
      </c>
      <c r="B19" s="13" t="n">
        <v>15</v>
      </c>
      <c r="C19" s="13" t="str">
        <f aca="false">IF($A19="","",INDEX(Checklist!$A$5:$A$300,MATCH($A19,Checklist!$AC$5:$AC$300,0)))</f>
        <v/>
      </c>
      <c r="D19" s="13" t="str">
        <f aca="false">IF($A19="","",INDEX(Checklist!$B$5:$B$300,MATCH($A19,Checklist!$AC$5:$AC$300,0)))</f>
        <v/>
      </c>
      <c r="E19" s="5" t="str">
        <f aca="false">IF($A19="","",INDEX(Checklist!$D$5:$D$300,MATCH($A19,Checklist!$AC$5:$AC$300,0)))</f>
        <v/>
      </c>
      <c r="F19" s="13" t="str">
        <f aca="false">IF($A19="","",INDEX(Checklist!$P$5:$P$300,MATCH($A19,Checklist!$AC$5:$AC$300,0)))</f>
        <v/>
      </c>
      <c r="G19" s="13" t="str">
        <f aca="false">IF($A19="","",INDEX(Checklist!$N$5:$N$300,MATCH($A19,Checklist!$AC$5:$AC$300,0)))</f>
        <v/>
      </c>
      <c r="H19" s="13" t="str">
        <f aca="false">IF($A19="","",INDEX(Checklist!$O$5:$O$300,MATCH($A19,Checklist!$AC$5:$AC$300,0)))</f>
        <v/>
      </c>
      <c r="I19" s="13" t="str">
        <f aca="false">IF($A19="","",INDEX(Checklist!$Q$5:$Q$300,MATCH($A19,Checklist!$AC$5:$AC$300,0)))</f>
        <v/>
      </c>
      <c r="J19" s="13" t="str">
        <f aca="false">IF($A19="","",INDEX(Checklist!$R$5:$R$300,MATCH($A19,Checklist!$AC$5:$AC$300,0)))</f>
        <v/>
      </c>
      <c r="K19" s="5" t="str">
        <f aca="false">IF($A19="","",INDEX(Checklist!$V$5:$V$300,MATCH($A19,Checklist!$AC$5:$AC$300,0)))</f>
        <v/>
      </c>
      <c r="L19" s="13" t="str">
        <f aca="false">IF($A19="","",INDEX(Checklist!$W$5:$W$300,MATCH($A19,Checklist!$AC$5:$AC$300,0)))</f>
        <v/>
      </c>
      <c r="M19" s="5" t="str">
        <f aca="false">IF($A19="","",INDEX(Checklist!$X$5:$X$300,MATCH($A19,Checklist!$AC$5:$AC$300,0)))</f>
        <v/>
      </c>
      <c r="N19" s="5" t="str">
        <f aca="false">IF($A19="","",INDEX(Checklist!$U$5:$U$300,MATCH($A19,Checklist!$AC$5:$AC$300,0)))</f>
        <v/>
      </c>
    </row>
    <row r="20" customFormat="false" ht="42" hidden="false" customHeight="true" outlineLevel="0" collapsed="false">
      <c r="A20" s="5" t="str">
        <f aca="false">IFERROR(SMALL(Checklist!$AC$5:$AC$300,16),"")</f>
        <v/>
      </c>
      <c r="B20" s="13" t="n">
        <v>16</v>
      </c>
      <c r="C20" s="13" t="str">
        <f aca="false">IF($A20="","",INDEX(Checklist!$A$5:$A$300,MATCH($A20,Checklist!$AC$5:$AC$300,0)))</f>
        <v/>
      </c>
      <c r="D20" s="13" t="str">
        <f aca="false">IF($A20="","",INDEX(Checklist!$B$5:$B$300,MATCH($A20,Checklist!$AC$5:$AC$300,0)))</f>
        <v/>
      </c>
      <c r="E20" s="5" t="str">
        <f aca="false">IF($A20="","",INDEX(Checklist!$D$5:$D$300,MATCH($A20,Checklist!$AC$5:$AC$300,0)))</f>
        <v/>
      </c>
      <c r="F20" s="13" t="str">
        <f aca="false">IF($A20="","",INDEX(Checklist!$P$5:$P$300,MATCH($A20,Checklist!$AC$5:$AC$300,0)))</f>
        <v/>
      </c>
      <c r="G20" s="13" t="str">
        <f aca="false">IF($A20="","",INDEX(Checklist!$N$5:$N$300,MATCH($A20,Checklist!$AC$5:$AC$300,0)))</f>
        <v/>
      </c>
      <c r="H20" s="13" t="str">
        <f aca="false">IF($A20="","",INDEX(Checklist!$O$5:$O$300,MATCH($A20,Checklist!$AC$5:$AC$300,0)))</f>
        <v/>
      </c>
      <c r="I20" s="13" t="str">
        <f aca="false">IF($A20="","",INDEX(Checklist!$Q$5:$Q$300,MATCH($A20,Checklist!$AC$5:$AC$300,0)))</f>
        <v/>
      </c>
      <c r="J20" s="13" t="str">
        <f aca="false">IF($A20="","",INDEX(Checklist!$R$5:$R$300,MATCH($A20,Checklist!$AC$5:$AC$300,0)))</f>
        <v/>
      </c>
      <c r="K20" s="5" t="str">
        <f aca="false">IF($A20="","",INDEX(Checklist!$V$5:$V$300,MATCH($A20,Checklist!$AC$5:$AC$300,0)))</f>
        <v/>
      </c>
      <c r="L20" s="13" t="str">
        <f aca="false">IF($A20="","",INDEX(Checklist!$W$5:$W$300,MATCH($A20,Checklist!$AC$5:$AC$300,0)))</f>
        <v/>
      </c>
      <c r="M20" s="5" t="str">
        <f aca="false">IF($A20="","",INDEX(Checklist!$X$5:$X$300,MATCH($A20,Checklist!$AC$5:$AC$300,0)))</f>
        <v/>
      </c>
      <c r="N20" s="5" t="str">
        <f aca="false">IF($A20="","",INDEX(Checklist!$U$5:$U$300,MATCH($A20,Checklist!$AC$5:$AC$300,0)))</f>
        <v/>
      </c>
    </row>
    <row r="21" customFormat="false" ht="42" hidden="false" customHeight="true" outlineLevel="0" collapsed="false">
      <c r="A21" s="5" t="str">
        <f aca="false">IFERROR(SMALL(Checklist!$AC$5:$AC$300,17),"")</f>
        <v/>
      </c>
      <c r="B21" s="13" t="n">
        <v>17</v>
      </c>
      <c r="C21" s="13" t="str">
        <f aca="false">IF($A21="","",INDEX(Checklist!$A$5:$A$300,MATCH($A21,Checklist!$AC$5:$AC$300,0)))</f>
        <v/>
      </c>
      <c r="D21" s="13" t="str">
        <f aca="false">IF($A21="","",INDEX(Checklist!$B$5:$B$300,MATCH($A21,Checklist!$AC$5:$AC$300,0)))</f>
        <v/>
      </c>
      <c r="E21" s="5" t="str">
        <f aca="false">IF($A21="","",INDEX(Checklist!$D$5:$D$300,MATCH($A21,Checklist!$AC$5:$AC$300,0)))</f>
        <v/>
      </c>
      <c r="F21" s="13" t="str">
        <f aca="false">IF($A21="","",INDEX(Checklist!$P$5:$P$300,MATCH($A21,Checklist!$AC$5:$AC$300,0)))</f>
        <v/>
      </c>
      <c r="G21" s="13" t="str">
        <f aca="false">IF($A21="","",INDEX(Checklist!$N$5:$N$300,MATCH($A21,Checklist!$AC$5:$AC$300,0)))</f>
        <v/>
      </c>
      <c r="H21" s="13" t="str">
        <f aca="false">IF($A21="","",INDEX(Checklist!$O$5:$O$300,MATCH($A21,Checklist!$AC$5:$AC$300,0)))</f>
        <v/>
      </c>
      <c r="I21" s="13" t="str">
        <f aca="false">IF($A21="","",INDEX(Checklist!$Q$5:$Q$300,MATCH($A21,Checklist!$AC$5:$AC$300,0)))</f>
        <v/>
      </c>
      <c r="J21" s="13" t="str">
        <f aca="false">IF($A21="","",INDEX(Checklist!$R$5:$R$300,MATCH($A21,Checklist!$AC$5:$AC$300,0)))</f>
        <v/>
      </c>
      <c r="K21" s="5" t="str">
        <f aca="false">IF($A21="","",INDEX(Checklist!$V$5:$V$300,MATCH($A21,Checklist!$AC$5:$AC$300,0)))</f>
        <v/>
      </c>
      <c r="L21" s="13" t="str">
        <f aca="false">IF($A21="","",INDEX(Checklist!$W$5:$W$300,MATCH($A21,Checklist!$AC$5:$AC$300,0)))</f>
        <v/>
      </c>
      <c r="M21" s="5" t="str">
        <f aca="false">IF($A21="","",INDEX(Checklist!$X$5:$X$300,MATCH($A21,Checklist!$AC$5:$AC$300,0)))</f>
        <v/>
      </c>
      <c r="N21" s="5" t="str">
        <f aca="false">IF($A21="","",INDEX(Checklist!$U$5:$U$300,MATCH($A21,Checklist!$AC$5:$AC$300,0)))</f>
        <v/>
      </c>
    </row>
    <row r="22" customFormat="false" ht="42" hidden="false" customHeight="true" outlineLevel="0" collapsed="false">
      <c r="A22" s="5" t="str">
        <f aca="false">IFERROR(SMALL(Checklist!$AC$5:$AC$300,18),"")</f>
        <v/>
      </c>
      <c r="B22" s="13" t="n">
        <v>18</v>
      </c>
      <c r="C22" s="13" t="str">
        <f aca="false">IF($A22="","",INDEX(Checklist!$A$5:$A$300,MATCH($A22,Checklist!$AC$5:$AC$300,0)))</f>
        <v/>
      </c>
      <c r="D22" s="13" t="str">
        <f aca="false">IF($A22="","",INDEX(Checklist!$B$5:$B$300,MATCH($A22,Checklist!$AC$5:$AC$300,0)))</f>
        <v/>
      </c>
      <c r="E22" s="5" t="str">
        <f aca="false">IF($A22="","",INDEX(Checklist!$D$5:$D$300,MATCH($A22,Checklist!$AC$5:$AC$300,0)))</f>
        <v/>
      </c>
      <c r="F22" s="13" t="str">
        <f aca="false">IF($A22="","",INDEX(Checklist!$P$5:$P$300,MATCH($A22,Checklist!$AC$5:$AC$300,0)))</f>
        <v/>
      </c>
      <c r="G22" s="13" t="str">
        <f aca="false">IF($A22="","",INDEX(Checklist!$N$5:$N$300,MATCH($A22,Checklist!$AC$5:$AC$300,0)))</f>
        <v/>
      </c>
      <c r="H22" s="13" t="str">
        <f aca="false">IF($A22="","",INDEX(Checklist!$O$5:$O$300,MATCH($A22,Checklist!$AC$5:$AC$300,0)))</f>
        <v/>
      </c>
      <c r="I22" s="13" t="str">
        <f aca="false">IF($A22="","",INDEX(Checklist!$Q$5:$Q$300,MATCH($A22,Checklist!$AC$5:$AC$300,0)))</f>
        <v/>
      </c>
      <c r="J22" s="13" t="str">
        <f aca="false">IF($A22="","",INDEX(Checklist!$R$5:$R$300,MATCH($A22,Checklist!$AC$5:$AC$300,0)))</f>
        <v/>
      </c>
      <c r="K22" s="5" t="str">
        <f aca="false">IF($A22="","",INDEX(Checklist!$V$5:$V$300,MATCH($A22,Checklist!$AC$5:$AC$300,0)))</f>
        <v/>
      </c>
      <c r="L22" s="13" t="str">
        <f aca="false">IF($A22="","",INDEX(Checklist!$W$5:$W$300,MATCH($A22,Checklist!$AC$5:$AC$300,0)))</f>
        <v/>
      </c>
      <c r="M22" s="5" t="str">
        <f aca="false">IF($A22="","",INDEX(Checklist!$X$5:$X$300,MATCH($A22,Checklist!$AC$5:$AC$300,0)))</f>
        <v/>
      </c>
      <c r="N22" s="5" t="str">
        <f aca="false">IF($A22="","",INDEX(Checklist!$U$5:$U$300,MATCH($A22,Checklist!$AC$5:$AC$300,0)))</f>
        <v/>
      </c>
    </row>
    <row r="23" customFormat="false" ht="42" hidden="false" customHeight="true" outlineLevel="0" collapsed="false">
      <c r="A23" s="5" t="str">
        <f aca="false">IFERROR(SMALL(Checklist!$AC$5:$AC$300,19),"")</f>
        <v/>
      </c>
      <c r="B23" s="13" t="n">
        <v>19</v>
      </c>
      <c r="C23" s="13" t="str">
        <f aca="false">IF($A23="","",INDEX(Checklist!$A$5:$A$300,MATCH($A23,Checklist!$AC$5:$AC$300,0)))</f>
        <v/>
      </c>
      <c r="D23" s="13" t="str">
        <f aca="false">IF($A23="","",INDEX(Checklist!$B$5:$B$300,MATCH($A23,Checklist!$AC$5:$AC$300,0)))</f>
        <v/>
      </c>
      <c r="E23" s="5" t="str">
        <f aca="false">IF($A23="","",INDEX(Checklist!$D$5:$D$300,MATCH($A23,Checklist!$AC$5:$AC$300,0)))</f>
        <v/>
      </c>
      <c r="F23" s="13" t="str">
        <f aca="false">IF($A23="","",INDEX(Checklist!$P$5:$P$300,MATCH($A23,Checklist!$AC$5:$AC$300,0)))</f>
        <v/>
      </c>
      <c r="G23" s="13" t="str">
        <f aca="false">IF($A23="","",INDEX(Checklist!$N$5:$N$300,MATCH($A23,Checklist!$AC$5:$AC$300,0)))</f>
        <v/>
      </c>
      <c r="H23" s="13" t="str">
        <f aca="false">IF($A23="","",INDEX(Checklist!$O$5:$O$300,MATCH($A23,Checklist!$AC$5:$AC$300,0)))</f>
        <v/>
      </c>
      <c r="I23" s="13" t="str">
        <f aca="false">IF($A23="","",INDEX(Checklist!$Q$5:$Q$300,MATCH($A23,Checklist!$AC$5:$AC$300,0)))</f>
        <v/>
      </c>
      <c r="J23" s="13" t="str">
        <f aca="false">IF($A23="","",INDEX(Checklist!$R$5:$R$300,MATCH($A23,Checklist!$AC$5:$AC$300,0)))</f>
        <v/>
      </c>
      <c r="K23" s="5" t="str">
        <f aca="false">IF($A23="","",INDEX(Checklist!$V$5:$V$300,MATCH($A23,Checklist!$AC$5:$AC$300,0)))</f>
        <v/>
      </c>
      <c r="L23" s="13" t="str">
        <f aca="false">IF($A23="","",INDEX(Checklist!$W$5:$W$300,MATCH($A23,Checklist!$AC$5:$AC$300,0)))</f>
        <v/>
      </c>
      <c r="M23" s="5" t="str">
        <f aca="false">IF($A23="","",INDEX(Checklist!$X$5:$X$300,MATCH($A23,Checklist!$AC$5:$AC$300,0)))</f>
        <v/>
      </c>
      <c r="N23" s="5" t="str">
        <f aca="false">IF($A23="","",INDEX(Checklist!$U$5:$U$300,MATCH($A23,Checklist!$AC$5:$AC$300,0)))</f>
        <v/>
      </c>
    </row>
    <row r="24" customFormat="false" ht="42" hidden="false" customHeight="true" outlineLevel="0" collapsed="false">
      <c r="A24" s="5" t="str">
        <f aca="false">IFERROR(SMALL(Checklist!$AC$5:$AC$300,20),"")</f>
        <v/>
      </c>
      <c r="B24" s="13" t="n">
        <v>20</v>
      </c>
      <c r="C24" s="13" t="str">
        <f aca="false">IF($A24="","",INDEX(Checklist!$A$5:$A$300,MATCH($A24,Checklist!$AC$5:$AC$300,0)))</f>
        <v/>
      </c>
      <c r="D24" s="13" t="str">
        <f aca="false">IF($A24="","",INDEX(Checklist!$B$5:$B$300,MATCH($A24,Checklist!$AC$5:$AC$300,0)))</f>
        <v/>
      </c>
      <c r="E24" s="5" t="str">
        <f aca="false">IF($A24="","",INDEX(Checklist!$D$5:$D$300,MATCH($A24,Checklist!$AC$5:$AC$300,0)))</f>
        <v/>
      </c>
      <c r="F24" s="13" t="str">
        <f aca="false">IF($A24="","",INDEX(Checklist!$P$5:$P$300,MATCH($A24,Checklist!$AC$5:$AC$300,0)))</f>
        <v/>
      </c>
      <c r="G24" s="13" t="str">
        <f aca="false">IF($A24="","",INDEX(Checklist!$N$5:$N$300,MATCH($A24,Checklist!$AC$5:$AC$300,0)))</f>
        <v/>
      </c>
      <c r="H24" s="13" t="str">
        <f aca="false">IF($A24="","",INDEX(Checklist!$O$5:$O$300,MATCH($A24,Checklist!$AC$5:$AC$300,0)))</f>
        <v/>
      </c>
      <c r="I24" s="13" t="str">
        <f aca="false">IF($A24="","",INDEX(Checklist!$Q$5:$Q$300,MATCH($A24,Checklist!$AC$5:$AC$300,0)))</f>
        <v/>
      </c>
      <c r="J24" s="13" t="str">
        <f aca="false">IF($A24="","",INDEX(Checklist!$R$5:$R$300,MATCH($A24,Checklist!$AC$5:$AC$300,0)))</f>
        <v/>
      </c>
      <c r="K24" s="5" t="str">
        <f aca="false">IF($A24="","",INDEX(Checklist!$V$5:$V$300,MATCH($A24,Checklist!$AC$5:$AC$300,0)))</f>
        <v/>
      </c>
      <c r="L24" s="13" t="str">
        <f aca="false">IF($A24="","",INDEX(Checklist!$W$5:$W$300,MATCH($A24,Checklist!$AC$5:$AC$300,0)))</f>
        <v/>
      </c>
      <c r="M24" s="5" t="str">
        <f aca="false">IF($A24="","",INDEX(Checklist!$X$5:$X$300,MATCH($A24,Checklist!$AC$5:$AC$300,0)))</f>
        <v/>
      </c>
      <c r="N24" s="5" t="str">
        <f aca="false">IF($A24="","",INDEX(Checklist!$U$5:$U$300,MATCH($A24,Checklist!$AC$5:$AC$300,0)))</f>
        <v/>
      </c>
    </row>
    <row r="27" customFormat="false" ht="15" hidden="false" customHeight="false" outlineLevel="0" collapsed="false">
      <c r="B27" s="3" t="s">
        <v>1025</v>
      </c>
    </row>
    <row r="28" customFormat="false" ht="46.25" hidden="false" customHeight="true" outlineLevel="0" collapsed="false">
      <c r="B28" s="8" t="s">
        <v>1020</v>
      </c>
      <c r="C28" s="8" t="s">
        <v>64</v>
      </c>
      <c r="D28" s="8"/>
      <c r="E28" s="8" t="s">
        <v>1026</v>
      </c>
      <c r="F28" s="8" t="s">
        <v>44</v>
      </c>
      <c r="G28" s="8" t="s">
        <v>1022</v>
      </c>
      <c r="H28" s="8" t="s">
        <v>1023</v>
      </c>
      <c r="J28" s="8" t="s">
        <v>1027</v>
      </c>
      <c r="K28" s="8" t="s">
        <v>1028</v>
      </c>
      <c r="L28" s="8"/>
      <c r="M28" s="8" t="s">
        <v>1029</v>
      </c>
      <c r="N28" s="8" t="s">
        <v>1030</v>
      </c>
    </row>
    <row r="29" customFormat="false" ht="60" hidden="false" customHeight="true" outlineLevel="0" collapsed="false">
      <c r="B29" s="13" t="n">
        <v>1</v>
      </c>
      <c r="C29" s="9"/>
      <c r="D29" s="9"/>
      <c r="E29" s="5" t="str">
        <f aca="false">IF($C29="","",INDEX(Checklist!$D$5:$D$300,MATCH($C29,Checklist!$A$5:$A$300,0)))</f>
        <v/>
      </c>
      <c r="F29" s="13" t="str">
        <f aca="false">IF($C29="","",INDEX(Checklist!$P$5:$P$300,MATCH($C29,Checklist!$A$5:$A$300,0)))</f>
        <v/>
      </c>
      <c r="G29" s="13" t="str">
        <f aca="false">IF($C29="","",INDEX(Checklist!$N$5:$N$300,MATCH($C29,Checklist!$A$5:$A$300,0)))</f>
        <v/>
      </c>
      <c r="H29" s="13" t="str">
        <f aca="false">IF($C29="","",INDEX(Checklist!$O$5:$O$300,MATCH($C29,Checklist!$A$5:$A$300,0)))</f>
        <v/>
      </c>
      <c r="J29" s="13" t="str">
        <f aca="false">IF($C29="","",INDEX(Checklist!$R$5:$R$300,MATCH($C29,Checklist!$A$5:$A$300,0)))</f>
        <v/>
      </c>
      <c r="K29" s="5" t="str">
        <f aca="false">IF($C29="","",INDEX(Checklist!$V$5:$V$300,MATCH($C29,Checklist!$A$5:$A$300,0)))</f>
        <v/>
      </c>
      <c r="L29" s="5"/>
      <c r="M29" s="6"/>
      <c r="N29" s="6"/>
    </row>
    <row r="30" customFormat="false" ht="60" hidden="false" customHeight="true" outlineLevel="0" collapsed="false">
      <c r="B30" s="13" t="n">
        <v>2</v>
      </c>
      <c r="C30" s="9"/>
      <c r="D30" s="9"/>
      <c r="E30" s="5" t="str">
        <f aca="false">IF($C30="","",INDEX(Checklist!$D$5:$D$300,MATCH($C30,Checklist!$A$5:$A$300,0)))</f>
        <v/>
      </c>
      <c r="F30" s="13" t="str">
        <f aca="false">IF($C30="","",INDEX(Checklist!$P$5:$P$300,MATCH($C30,Checklist!$A$5:$A$300,0)))</f>
        <v/>
      </c>
      <c r="G30" s="13" t="str">
        <f aca="false">IF($C30="","",INDEX(Checklist!$N$5:$N$300,MATCH($C30,Checklist!$A$5:$A$300,0)))</f>
        <v/>
      </c>
      <c r="H30" s="13" t="str">
        <f aca="false">IF($C30="","",INDEX(Checklist!$O$5:$O$300,MATCH($C30,Checklist!$A$5:$A$300,0)))</f>
        <v/>
      </c>
      <c r="J30" s="13" t="str">
        <f aca="false">IF($C30="","",INDEX(Checklist!$R$5:$R$300,MATCH($C30,Checklist!$A$5:$A$300,0)))</f>
        <v/>
      </c>
      <c r="K30" s="5" t="str">
        <f aca="false">IF($C30="","",INDEX(Checklist!$V$5:$V$300,MATCH($C30,Checklist!$A$5:$A$300,0)))</f>
        <v/>
      </c>
      <c r="L30" s="5"/>
      <c r="M30" s="6"/>
      <c r="N30" s="6"/>
    </row>
    <row r="31" customFormat="false" ht="60" hidden="false" customHeight="true" outlineLevel="0" collapsed="false">
      <c r="B31" s="13" t="n">
        <v>3</v>
      </c>
      <c r="C31" s="9"/>
      <c r="D31" s="9"/>
      <c r="E31" s="5" t="str">
        <f aca="false">IF($C31="","",INDEX(Checklist!$D$5:$D$300,MATCH($C31,Checklist!$A$5:$A$300,0)))</f>
        <v/>
      </c>
      <c r="F31" s="13" t="str">
        <f aca="false">IF($C31="","",INDEX(Checklist!$P$5:$P$300,MATCH($C31,Checklist!$A$5:$A$300,0)))</f>
        <v/>
      </c>
      <c r="G31" s="13" t="str">
        <f aca="false">IF($C31="","",INDEX(Checklist!$N$5:$N$300,MATCH($C31,Checklist!$A$5:$A$300,0)))</f>
        <v/>
      </c>
      <c r="H31" s="13" t="str">
        <f aca="false">IF($C31="","",INDEX(Checklist!$O$5:$O$300,MATCH($C31,Checklist!$A$5:$A$300,0)))</f>
        <v/>
      </c>
      <c r="J31" s="13" t="str">
        <f aca="false">IF($C31="","",INDEX(Checklist!$R$5:$R$300,MATCH($C31,Checklist!$A$5:$A$300,0)))</f>
        <v/>
      </c>
      <c r="K31" s="5" t="str">
        <f aca="false">IF($C31="","",INDEX(Checklist!$V$5:$V$300,MATCH($C31,Checklist!$A$5:$A$300,0)))</f>
        <v/>
      </c>
      <c r="L31" s="5"/>
      <c r="M31" s="6"/>
      <c r="N31" s="6"/>
    </row>
    <row r="33" customFormat="false" ht="15" hidden="false" customHeight="false" outlineLevel="0" collapsed="false">
      <c r="B33" s="3" t="s">
        <v>1031</v>
      </c>
    </row>
    <row r="34" customFormat="false" ht="30" hidden="false" customHeight="true" outlineLevel="0" collapsed="false">
      <c r="B34" s="13" t="n">
        <v>1</v>
      </c>
      <c r="C34" s="6"/>
      <c r="D34" s="6"/>
      <c r="E34" s="6"/>
      <c r="F34" s="6"/>
      <c r="G34" s="6"/>
      <c r="H34" s="6"/>
      <c r="I34" s="6"/>
      <c r="J34" s="6"/>
      <c r="K34" s="6"/>
      <c r="L34" s="6"/>
      <c r="M34" s="6"/>
      <c r="N34" s="6"/>
    </row>
    <row r="35" customFormat="false" ht="30" hidden="false" customHeight="true" outlineLevel="0" collapsed="false">
      <c r="B35" s="13" t="n">
        <v>2</v>
      </c>
      <c r="C35" s="6"/>
      <c r="D35" s="6"/>
      <c r="E35" s="6"/>
      <c r="F35" s="6"/>
      <c r="G35" s="6"/>
      <c r="H35" s="6"/>
      <c r="I35" s="6"/>
      <c r="J35" s="6"/>
      <c r="K35" s="6"/>
      <c r="L35" s="6"/>
      <c r="M35" s="6"/>
      <c r="N35" s="6"/>
    </row>
    <row r="36" customFormat="false" ht="30" hidden="false" customHeight="true" outlineLevel="0" collapsed="false">
      <c r="B36" s="13" t="n">
        <v>3</v>
      </c>
      <c r="C36" s="6"/>
      <c r="D36" s="6"/>
      <c r="E36" s="6"/>
      <c r="F36" s="6"/>
      <c r="G36" s="6"/>
      <c r="H36" s="6"/>
      <c r="I36" s="6"/>
      <c r="J36" s="6"/>
      <c r="K36" s="6"/>
      <c r="L36" s="6"/>
      <c r="M36" s="6"/>
      <c r="N36" s="6"/>
    </row>
  </sheetData>
  <mergeCells count="11">
    <mergeCell ref="C28:D28"/>
    <mergeCell ref="K28:L28"/>
    <mergeCell ref="C29:D29"/>
    <mergeCell ref="K29:L29"/>
    <mergeCell ref="C30:D30"/>
    <mergeCell ref="K30:L30"/>
    <mergeCell ref="C31:D31"/>
    <mergeCell ref="K31:L31"/>
    <mergeCell ref="C34:N34"/>
    <mergeCell ref="C35:N35"/>
    <mergeCell ref="C36:N36"/>
  </mergeCells>
  <conditionalFormatting sqref="F5:F24">
    <cfRule type="expression" priority="2" aboveAverage="0" equalAverage="0" bottom="0" percent="0" rank="0" text="" dxfId="13">
      <formula>F5="P1"</formula>
    </cfRule>
    <cfRule type="expression" priority="3" aboveAverage="0" equalAverage="0" bottom="0" percent="0" rank="0" text="" dxfId="9">
      <formula>F5="P2"</formula>
    </cfRule>
  </conditionalFormatting>
  <dataValidations count="1">
    <dataValidation allowBlank="true" errorStyle="stop" operator="between" showDropDown="false" showErrorMessage="false" showInputMessage="false" sqref="C29:C31" type="list">
      <formula1>Checklist!$A$5:$A$128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9"/>
    <col collapsed="false" customWidth="true" hidden="false" outlineLevel="0" max="4" min="4" style="0" width="50"/>
    <col collapsed="false" customWidth="true" hidden="false" outlineLevel="0" max="5" min="5" style="0" width="11"/>
    <col collapsed="false" customWidth="true" hidden="false" outlineLevel="0" max="7" min="6" style="0" width="8"/>
    <col collapsed="false" customWidth="true" hidden="false" outlineLevel="0" max="8" min="8" style="0" width="28"/>
    <col collapsed="false" customWidth="true" hidden="false" outlineLevel="0" max="9" min="9" style="0" width="12"/>
    <col collapsed="false" customWidth="true" hidden="false" outlineLevel="0" max="10" min="10" style="0" width="14"/>
    <col collapsed="false" customWidth="true" hidden="false" outlineLevel="0" max="11" min="11" style="0" width="18"/>
    <col collapsed="false" customWidth="true" hidden="false" outlineLevel="0" max="12" min="12" style="0" width="30"/>
  </cols>
  <sheetData>
    <row r="1" customFormat="false" ht="19.7" hidden="false" customHeight="false" outlineLevel="0" collapsed="false">
      <c r="B1" s="1" t="s">
        <v>1032</v>
      </c>
    </row>
    <row r="2" customFormat="false" ht="15" hidden="false" customHeight="false" outlineLevel="0" collapsed="false">
      <c r="B2" s="2" t="s">
        <v>1033</v>
      </c>
    </row>
    <row r="4" customFormat="false" ht="23.85" hidden="false" customHeight="false" outlineLevel="0" collapsed="false">
      <c r="B4" s="8" t="s">
        <v>1034</v>
      </c>
      <c r="C4" s="8" t="s">
        <v>64</v>
      </c>
      <c r="D4" s="8" t="s">
        <v>1035</v>
      </c>
      <c r="E4" s="8" t="s">
        <v>1027</v>
      </c>
      <c r="F4" s="8" t="s">
        <v>1023</v>
      </c>
      <c r="G4" s="8" t="s">
        <v>44</v>
      </c>
      <c r="H4" s="8" t="s">
        <v>1036</v>
      </c>
      <c r="I4" s="8" t="s">
        <v>1037</v>
      </c>
      <c r="J4" s="8" t="s">
        <v>1038</v>
      </c>
      <c r="K4" s="8" t="s">
        <v>1039</v>
      </c>
      <c r="L4" s="8" t="s">
        <v>1040</v>
      </c>
    </row>
    <row r="5" customFormat="false" ht="33.75" hidden="false" customHeight="true" outlineLevel="0" collapsed="false">
      <c r="B5" s="9"/>
      <c r="C5" s="9"/>
      <c r="D5" s="5" t="str">
        <f aca="false">IF($C5="","",INDEX(Checklist!$D$5:$D$300,MATCH($C5,Checklist!$A$5:$A$300,0)))</f>
        <v/>
      </c>
      <c r="E5" s="13" t="str">
        <f aca="false">IF($C5="","",INDEX(Checklist!$R$5:$R$300,MATCH($C5,Checklist!$A$5:$A$300,0)))</f>
        <v/>
      </c>
      <c r="F5" s="13" t="str">
        <f aca="false">IF($C5="","",INDEX(Checklist!$O$5:$O$300,MATCH($C5,Checklist!$A$5:$A$300,0)))</f>
        <v/>
      </c>
      <c r="G5" s="13" t="str">
        <f aca="false">IF($C5="","",INDEX(Checklist!$P$5:$P$300,MATCH($C5,Checklist!$A$5:$A$300,0)))</f>
        <v/>
      </c>
      <c r="H5" s="6"/>
      <c r="I5" s="15"/>
      <c r="J5" s="9"/>
      <c r="K5" s="6"/>
      <c r="L5" s="6"/>
    </row>
    <row r="6" customFormat="false" ht="33.75" hidden="false" customHeight="true" outlineLevel="0" collapsed="false">
      <c r="B6" s="9"/>
      <c r="C6" s="9"/>
      <c r="D6" s="5" t="str">
        <f aca="false">IF($C6="","",INDEX(Checklist!$D$5:$D$300,MATCH($C6,Checklist!$A$5:$A$300,0)))</f>
        <v/>
      </c>
      <c r="E6" s="13" t="str">
        <f aca="false">IF($C6="","",INDEX(Checklist!$R$5:$R$300,MATCH($C6,Checklist!$A$5:$A$300,0)))</f>
        <v/>
      </c>
      <c r="F6" s="13" t="str">
        <f aca="false">IF($C6="","",INDEX(Checklist!$O$5:$O$300,MATCH($C6,Checklist!$A$5:$A$300,0)))</f>
        <v/>
      </c>
      <c r="G6" s="13" t="str">
        <f aca="false">IF($C6="","",INDEX(Checklist!$P$5:$P$300,MATCH($C6,Checklist!$A$5:$A$300,0)))</f>
        <v/>
      </c>
      <c r="H6" s="6"/>
      <c r="I6" s="15"/>
      <c r="J6" s="9"/>
      <c r="K6" s="6"/>
      <c r="L6" s="6"/>
    </row>
    <row r="7" customFormat="false" ht="33.75" hidden="false" customHeight="true" outlineLevel="0" collapsed="false">
      <c r="B7" s="9"/>
      <c r="C7" s="9"/>
      <c r="D7" s="5" t="str">
        <f aca="false">IF($C7="","",INDEX(Checklist!$D$5:$D$300,MATCH($C7,Checklist!$A$5:$A$300,0)))</f>
        <v/>
      </c>
      <c r="E7" s="13" t="str">
        <f aca="false">IF($C7="","",INDEX(Checklist!$R$5:$R$300,MATCH($C7,Checklist!$A$5:$A$300,0)))</f>
        <v/>
      </c>
      <c r="F7" s="13" t="str">
        <f aca="false">IF($C7="","",INDEX(Checklist!$O$5:$O$300,MATCH($C7,Checklist!$A$5:$A$300,0)))</f>
        <v/>
      </c>
      <c r="G7" s="13" t="str">
        <f aca="false">IF($C7="","",INDEX(Checklist!$P$5:$P$300,MATCH($C7,Checklist!$A$5:$A$300,0)))</f>
        <v/>
      </c>
      <c r="H7" s="6"/>
      <c r="I7" s="15"/>
      <c r="J7" s="9"/>
      <c r="K7" s="6"/>
      <c r="L7" s="6"/>
    </row>
    <row r="8" customFormat="false" ht="33.75" hidden="false" customHeight="true" outlineLevel="0" collapsed="false">
      <c r="B8" s="9"/>
      <c r="C8" s="9"/>
      <c r="D8" s="5" t="str">
        <f aca="false">IF($C8="","",INDEX(Checklist!$D$5:$D$300,MATCH($C8,Checklist!$A$5:$A$300,0)))</f>
        <v/>
      </c>
      <c r="E8" s="13" t="str">
        <f aca="false">IF($C8="","",INDEX(Checklist!$R$5:$R$300,MATCH($C8,Checklist!$A$5:$A$300,0)))</f>
        <v/>
      </c>
      <c r="F8" s="13" t="str">
        <f aca="false">IF($C8="","",INDEX(Checklist!$O$5:$O$300,MATCH($C8,Checklist!$A$5:$A$300,0)))</f>
        <v/>
      </c>
      <c r="G8" s="13" t="str">
        <f aca="false">IF($C8="","",INDEX(Checklist!$P$5:$P$300,MATCH($C8,Checklist!$A$5:$A$300,0)))</f>
        <v/>
      </c>
      <c r="H8" s="6"/>
      <c r="I8" s="15"/>
      <c r="J8" s="9"/>
      <c r="K8" s="6"/>
      <c r="L8" s="6"/>
    </row>
    <row r="9" customFormat="false" ht="33.75" hidden="false" customHeight="true" outlineLevel="0" collapsed="false">
      <c r="B9" s="9"/>
      <c r="C9" s="9"/>
      <c r="D9" s="5" t="str">
        <f aca="false">IF($C9="","",INDEX(Checklist!$D$5:$D$300,MATCH($C9,Checklist!$A$5:$A$300,0)))</f>
        <v/>
      </c>
      <c r="E9" s="13" t="str">
        <f aca="false">IF($C9="","",INDEX(Checklist!$R$5:$R$300,MATCH($C9,Checklist!$A$5:$A$300,0)))</f>
        <v/>
      </c>
      <c r="F9" s="13" t="str">
        <f aca="false">IF($C9="","",INDEX(Checklist!$O$5:$O$300,MATCH($C9,Checklist!$A$5:$A$300,0)))</f>
        <v/>
      </c>
      <c r="G9" s="13" t="str">
        <f aca="false">IF($C9="","",INDEX(Checklist!$P$5:$P$300,MATCH($C9,Checklist!$A$5:$A$300,0)))</f>
        <v/>
      </c>
      <c r="H9" s="6"/>
      <c r="I9" s="15"/>
      <c r="J9" s="9"/>
      <c r="K9" s="6"/>
      <c r="L9" s="6"/>
    </row>
    <row r="10" customFormat="false" ht="33.75" hidden="false" customHeight="true" outlineLevel="0" collapsed="false">
      <c r="B10" s="9"/>
      <c r="C10" s="9"/>
      <c r="D10" s="5" t="str">
        <f aca="false">IF($C10="","",INDEX(Checklist!$D$5:$D$300,MATCH($C10,Checklist!$A$5:$A$300,0)))</f>
        <v/>
      </c>
      <c r="E10" s="13" t="str">
        <f aca="false">IF($C10="","",INDEX(Checklist!$R$5:$R$300,MATCH($C10,Checklist!$A$5:$A$300,0)))</f>
        <v/>
      </c>
      <c r="F10" s="13" t="str">
        <f aca="false">IF($C10="","",INDEX(Checklist!$O$5:$O$300,MATCH($C10,Checklist!$A$5:$A$300,0)))</f>
        <v/>
      </c>
      <c r="G10" s="13" t="str">
        <f aca="false">IF($C10="","",INDEX(Checklist!$P$5:$P$300,MATCH($C10,Checklist!$A$5:$A$300,0)))</f>
        <v/>
      </c>
      <c r="H10" s="6"/>
      <c r="I10" s="15"/>
      <c r="J10" s="9"/>
      <c r="K10" s="6"/>
      <c r="L10" s="6"/>
    </row>
    <row r="11" customFormat="false" ht="33.75" hidden="false" customHeight="true" outlineLevel="0" collapsed="false">
      <c r="B11" s="9"/>
      <c r="C11" s="9"/>
      <c r="D11" s="5" t="str">
        <f aca="false">IF($C11="","",INDEX(Checklist!$D$5:$D$300,MATCH($C11,Checklist!$A$5:$A$300,0)))</f>
        <v/>
      </c>
      <c r="E11" s="13" t="str">
        <f aca="false">IF($C11="","",INDEX(Checklist!$R$5:$R$300,MATCH($C11,Checklist!$A$5:$A$300,0)))</f>
        <v/>
      </c>
      <c r="F11" s="13" t="str">
        <f aca="false">IF($C11="","",INDEX(Checklist!$O$5:$O$300,MATCH($C11,Checklist!$A$5:$A$300,0)))</f>
        <v/>
      </c>
      <c r="G11" s="13" t="str">
        <f aca="false">IF($C11="","",INDEX(Checklist!$P$5:$P$300,MATCH($C11,Checklist!$A$5:$A$300,0)))</f>
        <v/>
      </c>
      <c r="H11" s="6"/>
      <c r="I11" s="15"/>
      <c r="J11" s="9"/>
      <c r="K11" s="6"/>
      <c r="L11" s="6"/>
    </row>
    <row r="12" customFormat="false" ht="33.75" hidden="false" customHeight="true" outlineLevel="0" collapsed="false">
      <c r="B12" s="9"/>
      <c r="C12" s="9"/>
      <c r="D12" s="5" t="str">
        <f aca="false">IF($C12="","",INDEX(Checklist!$D$5:$D$300,MATCH($C12,Checklist!$A$5:$A$300,0)))</f>
        <v/>
      </c>
      <c r="E12" s="13" t="str">
        <f aca="false">IF($C12="","",INDEX(Checklist!$R$5:$R$300,MATCH($C12,Checklist!$A$5:$A$300,0)))</f>
        <v/>
      </c>
      <c r="F12" s="13" t="str">
        <f aca="false">IF($C12="","",INDEX(Checklist!$O$5:$O$300,MATCH($C12,Checklist!$A$5:$A$300,0)))</f>
        <v/>
      </c>
      <c r="G12" s="13" t="str">
        <f aca="false">IF($C12="","",INDEX(Checklist!$P$5:$P$300,MATCH($C12,Checklist!$A$5:$A$300,0)))</f>
        <v/>
      </c>
      <c r="H12" s="6"/>
      <c r="I12" s="15"/>
      <c r="J12" s="9"/>
      <c r="K12" s="6"/>
      <c r="L12" s="6"/>
    </row>
    <row r="13" customFormat="false" ht="33.75" hidden="false" customHeight="true" outlineLevel="0" collapsed="false">
      <c r="B13" s="9"/>
      <c r="C13" s="9"/>
      <c r="D13" s="5" t="str">
        <f aca="false">IF($C13="","",INDEX(Checklist!$D$5:$D$300,MATCH($C13,Checklist!$A$5:$A$300,0)))</f>
        <v/>
      </c>
      <c r="E13" s="13" t="str">
        <f aca="false">IF($C13="","",INDEX(Checklist!$R$5:$R$300,MATCH($C13,Checklist!$A$5:$A$300,0)))</f>
        <v/>
      </c>
      <c r="F13" s="13" t="str">
        <f aca="false">IF($C13="","",INDEX(Checklist!$O$5:$O$300,MATCH($C13,Checklist!$A$5:$A$300,0)))</f>
        <v/>
      </c>
      <c r="G13" s="13" t="str">
        <f aca="false">IF($C13="","",INDEX(Checklist!$P$5:$P$300,MATCH($C13,Checklist!$A$5:$A$300,0)))</f>
        <v/>
      </c>
      <c r="H13" s="6"/>
      <c r="I13" s="15"/>
      <c r="J13" s="9"/>
      <c r="K13" s="6"/>
      <c r="L13" s="6"/>
    </row>
    <row r="14" customFormat="false" ht="33.75" hidden="false" customHeight="true" outlineLevel="0" collapsed="false">
      <c r="B14" s="9"/>
      <c r="C14" s="9"/>
      <c r="D14" s="5" t="str">
        <f aca="false">IF($C14="","",INDEX(Checklist!$D$5:$D$300,MATCH($C14,Checklist!$A$5:$A$300,0)))</f>
        <v/>
      </c>
      <c r="E14" s="13" t="str">
        <f aca="false">IF($C14="","",INDEX(Checklist!$R$5:$R$300,MATCH($C14,Checklist!$A$5:$A$300,0)))</f>
        <v/>
      </c>
      <c r="F14" s="13" t="str">
        <f aca="false">IF($C14="","",INDEX(Checklist!$O$5:$O$300,MATCH($C14,Checklist!$A$5:$A$300,0)))</f>
        <v/>
      </c>
      <c r="G14" s="13" t="str">
        <f aca="false">IF($C14="","",INDEX(Checklist!$P$5:$P$300,MATCH($C14,Checklist!$A$5:$A$300,0)))</f>
        <v/>
      </c>
      <c r="H14" s="6"/>
      <c r="I14" s="15"/>
      <c r="J14" s="9"/>
      <c r="K14" s="6"/>
      <c r="L14" s="6"/>
    </row>
    <row r="15" customFormat="false" ht="33.75" hidden="false" customHeight="true" outlineLevel="0" collapsed="false">
      <c r="B15" s="9"/>
      <c r="C15" s="9"/>
      <c r="D15" s="5" t="str">
        <f aca="false">IF($C15="","",INDEX(Checklist!$D$5:$D$300,MATCH($C15,Checklist!$A$5:$A$300,0)))</f>
        <v/>
      </c>
      <c r="E15" s="13" t="str">
        <f aca="false">IF($C15="","",INDEX(Checklist!$R$5:$R$300,MATCH($C15,Checklist!$A$5:$A$300,0)))</f>
        <v/>
      </c>
      <c r="F15" s="13" t="str">
        <f aca="false">IF($C15="","",INDEX(Checklist!$O$5:$O$300,MATCH($C15,Checklist!$A$5:$A$300,0)))</f>
        <v/>
      </c>
      <c r="G15" s="13" t="str">
        <f aca="false">IF($C15="","",INDEX(Checklist!$P$5:$P$300,MATCH($C15,Checklist!$A$5:$A$300,0)))</f>
        <v/>
      </c>
      <c r="H15" s="6"/>
      <c r="I15" s="15"/>
      <c r="J15" s="9"/>
      <c r="K15" s="6"/>
      <c r="L15" s="6"/>
    </row>
    <row r="16" customFormat="false" ht="33.75" hidden="false" customHeight="true" outlineLevel="0" collapsed="false">
      <c r="B16" s="9"/>
      <c r="C16" s="9"/>
      <c r="D16" s="5" t="str">
        <f aca="false">IF($C16="","",INDEX(Checklist!$D$5:$D$300,MATCH($C16,Checklist!$A$5:$A$300,0)))</f>
        <v/>
      </c>
      <c r="E16" s="13" t="str">
        <f aca="false">IF($C16="","",INDEX(Checklist!$R$5:$R$300,MATCH($C16,Checklist!$A$5:$A$300,0)))</f>
        <v/>
      </c>
      <c r="F16" s="13" t="str">
        <f aca="false">IF($C16="","",INDEX(Checklist!$O$5:$O$300,MATCH($C16,Checklist!$A$5:$A$300,0)))</f>
        <v/>
      </c>
      <c r="G16" s="13" t="str">
        <f aca="false">IF($C16="","",INDEX(Checklist!$P$5:$P$300,MATCH($C16,Checklist!$A$5:$A$300,0)))</f>
        <v/>
      </c>
      <c r="H16" s="6"/>
      <c r="I16" s="15"/>
      <c r="J16" s="9"/>
      <c r="K16" s="6"/>
      <c r="L16" s="6"/>
    </row>
    <row r="17" customFormat="false" ht="33.75" hidden="false" customHeight="true" outlineLevel="0" collapsed="false">
      <c r="B17" s="9"/>
      <c r="C17" s="9"/>
      <c r="D17" s="5" t="str">
        <f aca="false">IF($C17="","",INDEX(Checklist!$D$5:$D$300,MATCH($C17,Checklist!$A$5:$A$300,0)))</f>
        <v/>
      </c>
      <c r="E17" s="13" t="str">
        <f aca="false">IF($C17="","",INDEX(Checklist!$R$5:$R$300,MATCH($C17,Checklist!$A$5:$A$300,0)))</f>
        <v/>
      </c>
      <c r="F17" s="13" t="str">
        <f aca="false">IF($C17="","",INDEX(Checklist!$O$5:$O$300,MATCH($C17,Checklist!$A$5:$A$300,0)))</f>
        <v/>
      </c>
      <c r="G17" s="13" t="str">
        <f aca="false">IF($C17="","",INDEX(Checklist!$P$5:$P$300,MATCH($C17,Checklist!$A$5:$A$300,0)))</f>
        <v/>
      </c>
      <c r="H17" s="6"/>
      <c r="I17" s="15"/>
      <c r="J17" s="9"/>
      <c r="K17" s="6"/>
      <c r="L17" s="6"/>
    </row>
    <row r="18" customFormat="false" ht="33.75" hidden="false" customHeight="true" outlineLevel="0" collapsed="false">
      <c r="B18" s="9"/>
      <c r="C18" s="9"/>
      <c r="D18" s="5" t="str">
        <f aca="false">IF($C18="","",INDEX(Checklist!$D$5:$D$300,MATCH($C18,Checklist!$A$5:$A$300,0)))</f>
        <v/>
      </c>
      <c r="E18" s="13" t="str">
        <f aca="false">IF($C18="","",INDEX(Checklist!$R$5:$R$300,MATCH($C18,Checklist!$A$5:$A$300,0)))</f>
        <v/>
      </c>
      <c r="F18" s="13" t="str">
        <f aca="false">IF($C18="","",INDEX(Checklist!$O$5:$O$300,MATCH($C18,Checklist!$A$5:$A$300,0)))</f>
        <v/>
      </c>
      <c r="G18" s="13" t="str">
        <f aca="false">IF($C18="","",INDEX(Checklist!$P$5:$P$300,MATCH($C18,Checklist!$A$5:$A$300,0)))</f>
        <v/>
      </c>
      <c r="H18" s="6"/>
      <c r="I18" s="15"/>
      <c r="J18" s="9"/>
      <c r="K18" s="6"/>
      <c r="L18" s="6"/>
    </row>
    <row r="19" customFormat="false" ht="33.75" hidden="false" customHeight="true" outlineLevel="0" collapsed="false">
      <c r="B19" s="9"/>
      <c r="C19" s="9"/>
      <c r="D19" s="5" t="str">
        <f aca="false">IF($C19="","",INDEX(Checklist!$D$5:$D$300,MATCH($C19,Checklist!$A$5:$A$300,0)))</f>
        <v/>
      </c>
      <c r="E19" s="13" t="str">
        <f aca="false">IF($C19="","",INDEX(Checklist!$R$5:$R$300,MATCH($C19,Checklist!$A$5:$A$300,0)))</f>
        <v/>
      </c>
      <c r="F19" s="13" t="str">
        <f aca="false">IF($C19="","",INDEX(Checklist!$O$5:$O$300,MATCH($C19,Checklist!$A$5:$A$300,0)))</f>
        <v/>
      </c>
      <c r="G19" s="13" t="str">
        <f aca="false">IF($C19="","",INDEX(Checklist!$P$5:$P$300,MATCH($C19,Checklist!$A$5:$A$300,0)))</f>
        <v/>
      </c>
      <c r="H19" s="6"/>
      <c r="I19" s="15"/>
      <c r="J19" s="9"/>
      <c r="K19" s="6"/>
      <c r="L19" s="6"/>
    </row>
    <row r="20" customFormat="false" ht="33.75" hidden="false" customHeight="true" outlineLevel="0" collapsed="false">
      <c r="B20" s="9"/>
      <c r="C20" s="9"/>
      <c r="D20" s="5" t="str">
        <f aca="false">IF($C20="","",INDEX(Checklist!$D$5:$D$300,MATCH($C20,Checklist!$A$5:$A$300,0)))</f>
        <v/>
      </c>
      <c r="E20" s="13" t="str">
        <f aca="false">IF($C20="","",INDEX(Checklist!$R$5:$R$300,MATCH($C20,Checklist!$A$5:$A$300,0)))</f>
        <v/>
      </c>
      <c r="F20" s="13" t="str">
        <f aca="false">IF($C20="","",INDEX(Checklist!$O$5:$O$300,MATCH($C20,Checklist!$A$5:$A$300,0)))</f>
        <v/>
      </c>
      <c r="G20" s="13" t="str">
        <f aca="false">IF($C20="","",INDEX(Checklist!$P$5:$P$300,MATCH($C20,Checklist!$A$5:$A$300,0)))</f>
        <v/>
      </c>
      <c r="H20" s="6"/>
      <c r="I20" s="15"/>
      <c r="J20" s="9"/>
      <c r="K20" s="6"/>
      <c r="L20" s="6"/>
    </row>
    <row r="21" customFormat="false" ht="33.75" hidden="false" customHeight="true" outlineLevel="0" collapsed="false">
      <c r="B21" s="9"/>
      <c r="C21" s="9"/>
      <c r="D21" s="5" t="str">
        <f aca="false">IF($C21="","",INDEX(Checklist!$D$5:$D$300,MATCH($C21,Checklist!$A$5:$A$300,0)))</f>
        <v/>
      </c>
      <c r="E21" s="13" t="str">
        <f aca="false">IF($C21="","",INDEX(Checklist!$R$5:$R$300,MATCH($C21,Checklist!$A$5:$A$300,0)))</f>
        <v/>
      </c>
      <c r="F21" s="13" t="str">
        <f aca="false">IF($C21="","",INDEX(Checklist!$O$5:$O$300,MATCH($C21,Checklist!$A$5:$A$300,0)))</f>
        <v/>
      </c>
      <c r="G21" s="13" t="str">
        <f aca="false">IF($C21="","",INDEX(Checklist!$P$5:$P$300,MATCH($C21,Checklist!$A$5:$A$300,0)))</f>
        <v/>
      </c>
      <c r="H21" s="6"/>
      <c r="I21" s="15"/>
      <c r="J21" s="9"/>
      <c r="K21" s="6"/>
      <c r="L21" s="6"/>
    </row>
    <row r="22" customFormat="false" ht="33.75" hidden="false" customHeight="true" outlineLevel="0" collapsed="false">
      <c r="B22" s="9"/>
      <c r="C22" s="9"/>
      <c r="D22" s="5" t="str">
        <f aca="false">IF($C22="","",INDEX(Checklist!$D$5:$D$300,MATCH($C22,Checklist!$A$5:$A$300,0)))</f>
        <v/>
      </c>
      <c r="E22" s="13" t="str">
        <f aca="false">IF($C22="","",INDEX(Checklist!$R$5:$R$300,MATCH($C22,Checklist!$A$5:$A$300,0)))</f>
        <v/>
      </c>
      <c r="F22" s="13" t="str">
        <f aca="false">IF($C22="","",INDEX(Checklist!$O$5:$O$300,MATCH($C22,Checklist!$A$5:$A$300,0)))</f>
        <v/>
      </c>
      <c r="G22" s="13" t="str">
        <f aca="false">IF($C22="","",INDEX(Checklist!$P$5:$P$300,MATCH($C22,Checklist!$A$5:$A$300,0)))</f>
        <v/>
      </c>
      <c r="H22" s="6"/>
      <c r="I22" s="15"/>
      <c r="J22" s="9"/>
      <c r="K22" s="6"/>
      <c r="L22" s="6"/>
    </row>
    <row r="23" customFormat="false" ht="33.75" hidden="false" customHeight="true" outlineLevel="0" collapsed="false">
      <c r="B23" s="9"/>
      <c r="C23" s="9"/>
      <c r="D23" s="5" t="str">
        <f aca="false">IF($C23="","",INDEX(Checklist!$D$5:$D$300,MATCH($C23,Checklist!$A$5:$A$300,0)))</f>
        <v/>
      </c>
      <c r="E23" s="13" t="str">
        <f aca="false">IF($C23="","",INDEX(Checklist!$R$5:$R$300,MATCH($C23,Checklist!$A$5:$A$300,0)))</f>
        <v/>
      </c>
      <c r="F23" s="13" t="str">
        <f aca="false">IF($C23="","",INDEX(Checklist!$O$5:$O$300,MATCH($C23,Checklist!$A$5:$A$300,0)))</f>
        <v/>
      </c>
      <c r="G23" s="13" t="str">
        <f aca="false">IF($C23="","",INDEX(Checklist!$P$5:$P$300,MATCH($C23,Checklist!$A$5:$A$300,0)))</f>
        <v/>
      </c>
      <c r="H23" s="6"/>
      <c r="I23" s="15"/>
      <c r="J23" s="9"/>
      <c r="K23" s="6"/>
      <c r="L23" s="6"/>
    </row>
    <row r="24" customFormat="false" ht="33.75" hidden="false" customHeight="true" outlineLevel="0" collapsed="false">
      <c r="B24" s="9"/>
      <c r="C24" s="9"/>
      <c r="D24" s="5" t="str">
        <f aca="false">IF($C24="","",INDEX(Checklist!$D$5:$D$300,MATCH($C24,Checklist!$A$5:$A$300,0)))</f>
        <v/>
      </c>
      <c r="E24" s="13" t="str">
        <f aca="false">IF($C24="","",INDEX(Checklist!$R$5:$R$300,MATCH($C24,Checklist!$A$5:$A$300,0)))</f>
        <v/>
      </c>
      <c r="F24" s="13" t="str">
        <f aca="false">IF($C24="","",INDEX(Checklist!$O$5:$O$300,MATCH($C24,Checklist!$A$5:$A$300,0)))</f>
        <v/>
      </c>
      <c r="G24" s="13" t="str">
        <f aca="false">IF($C24="","",INDEX(Checklist!$P$5:$P$300,MATCH($C24,Checklist!$A$5:$A$300,0)))</f>
        <v/>
      </c>
      <c r="H24" s="6"/>
      <c r="I24" s="15"/>
      <c r="J24" s="9"/>
      <c r="K24" s="6"/>
      <c r="L24" s="6"/>
    </row>
  </sheetData>
  <dataValidations count="3">
    <dataValidation allowBlank="true" errorStyle="stop" operator="between" showDropDown="false" showErrorMessage="false" showInputMessage="false" sqref="B5:B24" type="list">
      <formula1>"30 days,90 days,180 days,Later / budget"</formula1>
      <formula2>0</formula2>
    </dataValidation>
    <dataValidation allowBlank="true" errorStyle="stop" operator="between" showDropDown="false" showErrorMessage="false" showInputMessage="false" sqref="J5:J24" type="list">
      <formula1>"Proposed,Agreed,In progress,Done,Declined"</formula1>
      <formula2>0</formula2>
    </dataValidation>
    <dataValidation allowBlank="true" errorStyle="stop" operator="between" showDropDown="false" showErrorMessage="false" showInputMessage="false" sqref="C5:C24" type="list">
      <formula1>Checklist!$A$5:$A$128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14" min="3" style="0" width="8"/>
    <col collapsed="false" customWidth="true" hidden="false" outlineLevel="0" max="16" min="15" style="0" width="11"/>
    <col collapsed="false" customWidth="true" hidden="false" outlineLevel="0" max="17" min="17" style="0" width="40"/>
  </cols>
  <sheetData>
    <row r="1" customFormat="false" ht="19.7" hidden="false" customHeight="false" outlineLevel="0" collapsed="false">
      <c r="A1" s="1" t="s">
        <v>1041</v>
      </c>
    </row>
    <row r="2" customFormat="false" ht="43.5" hidden="false" customHeight="true" outlineLevel="0" collapsed="false">
      <c r="A2" s="12" t="s">
        <v>1042</v>
      </c>
      <c r="B2" s="12"/>
      <c r="C2" s="12"/>
      <c r="D2" s="12"/>
      <c r="E2" s="12"/>
      <c r="F2" s="12"/>
      <c r="G2" s="12"/>
      <c r="H2" s="12"/>
      <c r="I2" s="12"/>
      <c r="J2" s="12"/>
      <c r="K2" s="12"/>
      <c r="L2" s="12"/>
      <c r="M2" s="12"/>
      <c r="N2" s="12"/>
      <c r="O2" s="12"/>
      <c r="P2" s="12"/>
      <c r="Q2" s="12"/>
    </row>
    <row r="4" customFormat="false" ht="15" hidden="false" customHeight="false" outlineLevel="0" collapsed="false">
      <c r="A4" s="3" t="s">
        <v>1043</v>
      </c>
    </row>
    <row r="5" customFormat="false" ht="23.85" hidden="false" customHeight="false" outlineLevel="0" collapsed="false">
      <c r="A5" s="8" t="s">
        <v>958</v>
      </c>
      <c r="B5" s="8" t="s">
        <v>86</v>
      </c>
      <c r="C5" s="9" t="s">
        <v>1044</v>
      </c>
      <c r="D5" s="9" t="s">
        <v>1045</v>
      </c>
      <c r="E5" s="9" t="s">
        <v>1046</v>
      </c>
      <c r="F5" s="9" t="s">
        <v>1047</v>
      </c>
      <c r="G5" s="9" t="s">
        <v>1048</v>
      </c>
      <c r="H5" s="9" t="s">
        <v>1049</v>
      </c>
      <c r="I5" s="9" t="s">
        <v>1050</v>
      </c>
      <c r="J5" s="9" t="s">
        <v>1051</v>
      </c>
      <c r="K5" s="9" t="s">
        <v>1052</v>
      </c>
      <c r="L5" s="9" t="s">
        <v>1053</v>
      </c>
      <c r="M5" s="9" t="s">
        <v>1054</v>
      </c>
      <c r="N5" s="9" t="s">
        <v>1055</v>
      </c>
      <c r="O5" s="8" t="s">
        <v>1056</v>
      </c>
      <c r="P5" s="8" t="s">
        <v>1057</v>
      </c>
      <c r="Q5" s="8" t="s">
        <v>1058</v>
      </c>
    </row>
    <row r="6" customFormat="false" ht="15" hidden="false" customHeight="false" outlineLevel="0" collapsed="false">
      <c r="A6" s="4" t="s">
        <v>176</v>
      </c>
      <c r="B6" s="5" t="s">
        <v>177</v>
      </c>
      <c r="C6" s="27"/>
      <c r="D6" s="27"/>
      <c r="E6" s="27"/>
      <c r="F6" s="27"/>
      <c r="G6" s="27"/>
      <c r="H6" s="27"/>
      <c r="I6" s="27"/>
      <c r="J6" s="27"/>
      <c r="K6" s="27"/>
      <c r="L6" s="27"/>
      <c r="M6" s="27"/>
      <c r="N6" s="27"/>
      <c r="O6" s="19" t="str">
        <f aca="false">IF(COUNT(C6:N6)=0,"",AVERAGE(C6:N6))</f>
        <v/>
      </c>
      <c r="P6" s="13" t="n">
        <f aca="false">COUNTIF(C6:N6,"&lt;"&amp;Lists!$L$5)</f>
        <v>0</v>
      </c>
      <c r="Q6" s="6"/>
    </row>
    <row r="7" customFormat="false" ht="15" hidden="false" customHeight="false" outlineLevel="0" collapsed="false">
      <c r="A7" s="4" t="s">
        <v>265</v>
      </c>
      <c r="B7" s="5" t="s">
        <v>266</v>
      </c>
      <c r="C7" s="27"/>
      <c r="D7" s="27"/>
      <c r="E7" s="27"/>
      <c r="F7" s="27"/>
      <c r="G7" s="27"/>
      <c r="H7" s="27"/>
      <c r="I7" s="27"/>
      <c r="J7" s="27"/>
      <c r="K7" s="27"/>
      <c r="L7" s="27"/>
      <c r="M7" s="27"/>
      <c r="N7" s="27"/>
      <c r="O7" s="19" t="str">
        <f aca="false">IF(COUNT(C7:N7)=0,"",AVERAGE(C7:N7))</f>
        <v/>
      </c>
      <c r="P7" s="13" t="n">
        <f aca="false">COUNTIF(C7:N7,"&lt;"&amp;Lists!$L$5)</f>
        <v>0</v>
      </c>
      <c r="Q7" s="6"/>
    </row>
    <row r="8" customFormat="false" ht="15" hidden="false" customHeight="false" outlineLevel="0" collapsed="false">
      <c r="A8" s="4" t="s">
        <v>341</v>
      </c>
      <c r="B8" s="5" t="s">
        <v>342</v>
      </c>
      <c r="C8" s="27"/>
      <c r="D8" s="27"/>
      <c r="E8" s="27"/>
      <c r="F8" s="27"/>
      <c r="G8" s="27"/>
      <c r="H8" s="27"/>
      <c r="I8" s="27"/>
      <c r="J8" s="27"/>
      <c r="K8" s="27"/>
      <c r="L8" s="27"/>
      <c r="M8" s="27"/>
      <c r="N8" s="27"/>
      <c r="O8" s="19" t="str">
        <f aca="false">IF(COUNT(C8:N8)=0,"",AVERAGE(C8:N8))</f>
        <v/>
      </c>
      <c r="P8" s="13" t="n">
        <f aca="false">COUNTIF(C8:N8,"&lt;"&amp;Lists!$L$5)</f>
        <v>0</v>
      </c>
      <c r="Q8" s="6"/>
    </row>
    <row r="9" customFormat="false" ht="15" hidden="false" customHeight="false" outlineLevel="0" collapsed="false">
      <c r="A9" s="4" t="s">
        <v>444</v>
      </c>
      <c r="B9" s="5" t="s">
        <v>445</v>
      </c>
      <c r="C9" s="27"/>
      <c r="D9" s="27"/>
      <c r="E9" s="27"/>
      <c r="F9" s="27"/>
      <c r="G9" s="27"/>
      <c r="H9" s="27"/>
      <c r="I9" s="27"/>
      <c r="J9" s="27"/>
      <c r="K9" s="27"/>
      <c r="L9" s="27"/>
      <c r="M9" s="27"/>
      <c r="N9" s="27"/>
      <c r="O9" s="19" t="str">
        <f aca="false">IF(COUNT(C9:N9)=0,"",AVERAGE(C9:N9))</f>
        <v/>
      </c>
      <c r="P9" s="13" t="n">
        <f aca="false">COUNTIF(C9:N9,"&lt;"&amp;Lists!$L$5)</f>
        <v>0</v>
      </c>
      <c r="Q9" s="6"/>
    </row>
    <row r="10" customFormat="false" ht="15" hidden="false" customHeight="false" outlineLevel="0" collapsed="false">
      <c r="A10" s="4" t="s">
        <v>526</v>
      </c>
      <c r="B10" s="5" t="s">
        <v>527</v>
      </c>
      <c r="C10" s="27"/>
      <c r="D10" s="27"/>
      <c r="E10" s="27"/>
      <c r="F10" s="27"/>
      <c r="G10" s="27"/>
      <c r="H10" s="27"/>
      <c r="I10" s="27"/>
      <c r="J10" s="27"/>
      <c r="K10" s="27"/>
      <c r="L10" s="27"/>
      <c r="M10" s="27"/>
      <c r="N10" s="27"/>
      <c r="O10" s="19" t="str">
        <f aca="false">IF(COUNT(C10:N10)=0,"",AVERAGE(C10:N10))</f>
        <v/>
      </c>
      <c r="P10" s="13" t="n">
        <f aca="false">COUNTIF(C10:N10,"&lt;"&amp;Lists!$L$5)</f>
        <v>0</v>
      </c>
      <c r="Q10" s="6"/>
    </row>
    <row r="11" customFormat="false" ht="15" hidden="false" customHeight="false" outlineLevel="0" collapsed="false">
      <c r="A11" s="4" t="s">
        <v>600</v>
      </c>
      <c r="B11" s="5" t="s">
        <v>601</v>
      </c>
      <c r="C11" s="27"/>
      <c r="D11" s="27"/>
      <c r="E11" s="27"/>
      <c r="F11" s="27"/>
      <c r="G11" s="27"/>
      <c r="H11" s="27"/>
      <c r="I11" s="27"/>
      <c r="J11" s="27"/>
      <c r="K11" s="27"/>
      <c r="L11" s="27"/>
      <c r="M11" s="27"/>
      <c r="N11" s="27"/>
      <c r="O11" s="19" t="str">
        <f aca="false">IF(COUNT(C11:N11)=0,"",AVERAGE(C11:N11))</f>
        <v/>
      </c>
      <c r="P11" s="13" t="n">
        <f aca="false">COUNTIF(C11:N11,"&lt;"&amp;Lists!$L$5)</f>
        <v>0</v>
      </c>
      <c r="Q11" s="6"/>
    </row>
    <row r="12" customFormat="false" ht="15" hidden="false" customHeight="false" outlineLevel="0" collapsed="false">
      <c r="A12" s="4" t="s">
        <v>662</v>
      </c>
      <c r="B12" s="5" t="s">
        <v>663</v>
      </c>
      <c r="C12" s="27"/>
      <c r="D12" s="27"/>
      <c r="E12" s="27"/>
      <c r="F12" s="27"/>
      <c r="G12" s="27"/>
      <c r="H12" s="27"/>
      <c r="I12" s="27"/>
      <c r="J12" s="27"/>
      <c r="K12" s="27"/>
      <c r="L12" s="27"/>
      <c r="M12" s="27"/>
      <c r="N12" s="27"/>
      <c r="O12" s="19" t="str">
        <f aca="false">IF(COUNT(C12:N12)=0,"",AVERAGE(C12:N12))</f>
        <v/>
      </c>
      <c r="P12" s="13" t="n">
        <f aca="false">COUNTIF(C12:N12,"&lt;"&amp;Lists!$L$5)</f>
        <v>0</v>
      </c>
      <c r="Q12" s="6"/>
    </row>
    <row r="13" customFormat="false" ht="15" hidden="false" customHeight="false" outlineLevel="0" collapsed="false">
      <c r="A13" s="4" t="s">
        <v>725</v>
      </c>
      <c r="B13" s="5" t="s">
        <v>726</v>
      </c>
      <c r="C13" s="27"/>
      <c r="D13" s="27"/>
      <c r="E13" s="27"/>
      <c r="F13" s="27"/>
      <c r="G13" s="27"/>
      <c r="H13" s="27"/>
      <c r="I13" s="27"/>
      <c r="J13" s="27"/>
      <c r="K13" s="27"/>
      <c r="L13" s="27"/>
      <c r="M13" s="27"/>
      <c r="N13" s="27"/>
      <c r="O13" s="19" t="str">
        <f aca="false">IF(COUNT(C13:N13)=0,"",AVERAGE(C13:N13))</f>
        <v/>
      </c>
      <c r="P13" s="13" t="n">
        <f aca="false">COUNTIF(C13:N13,"&lt;"&amp;Lists!$L$5)</f>
        <v>0</v>
      </c>
      <c r="Q13" s="6"/>
    </row>
    <row r="14" customFormat="false" ht="15" hidden="false" customHeight="false" outlineLevel="0" collapsed="false">
      <c r="A14" s="4" t="s">
        <v>800</v>
      </c>
      <c r="B14" s="5" t="s">
        <v>801</v>
      </c>
      <c r="C14" s="27"/>
      <c r="D14" s="27"/>
      <c r="E14" s="27"/>
      <c r="F14" s="27"/>
      <c r="G14" s="27"/>
      <c r="H14" s="27"/>
      <c r="I14" s="27"/>
      <c r="J14" s="27"/>
      <c r="K14" s="27"/>
      <c r="L14" s="27"/>
      <c r="M14" s="27"/>
      <c r="N14" s="27"/>
      <c r="O14" s="19" t="str">
        <f aca="false">IF(COUNT(C14:N14)=0,"",AVERAGE(C14:N14))</f>
        <v/>
      </c>
      <c r="P14" s="13" t="n">
        <f aca="false">COUNTIF(C14:N14,"&lt;"&amp;Lists!$L$5)</f>
        <v>0</v>
      </c>
      <c r="Q14" s="6"/>
    </row>
    <row r="15" customFormat="false" ht="15" hidden="false" customHeight="false" outlineLevel="0" collapsed="false">
      <c r="A15" s="4" t="s">
        <v>851</v>
      </c>
      <c r="B15" s="5" t="s">
        <v>852</v>
      </c>
      <c r="C15" s="27"/>
      <c r="D15" s="27"/>
      <c r="E15" s="27"/>
      <c r="F15" s="27"/>
      <c r="G15" s="27"/>
      <c r="H15" s="27"/>
      <c r="I15" s="27"/>
      <c r="J15" s="27"/>
      <c r="K15" s="27"/>
      <c r="L15" s="27"/>
      <c r="M15" s="27"/>
      <c r="N15" s="27"/>
      <c r="O15" s="19" t="str">
        <f aca="false">IF(COUNT(C15:N15)=0,"",AVERAGE(C15:N15))</f>
        <v/>
      </c>
      <c r="P15" s="13" t="n">
        <f aca="false">COUNTIF(C15:N15,"&lt;"&amp;Lists!$L$5)</f>
        <v>0</v>
      </c>
      <c r="Q15" s="6"/>
    </row>
    <row r="16" customFormat="false" ht="15" hidden="false" customHeight="false" outlineLevel="0" collapsed="false">
      <c r="A16" s="4" t="s">
        <v>907</v>
      </c>
      <c r="B16" s="5" t="s">
        <v>908</v>
      </c>
      <c r="C16" s="27"/>
      <c r="D16" s="27"/>
      <c r="E16" s="27"/>
      <c r="F16" s="27"/>
      <c r="G16" s="27"/>
      <c r="H16" s="27"/>
      <c r="I16" s="27"/>
      <c r="J16" s="27"/>
      <c r="K16" s="27"/>
      <c r="L16" s="27"/>
      <c r="M16" s="27"/>
      <c r="N16" s="27"/>
      <c r="O16" s="19" t="str">
        <f aca="false">IF(COUNT(C16:N16)=0,"",AVERAGE(C16:N16))</f>
        <v/>
      </c>
      <c r="P16" s="13" t="n">
        <f aca="false">COUNTIF(C16:N16,"&lt;"&amp;Lists!$L$5)</f>
        <v>0</v>
      </c>
      <c r="Q16" s="6"/>
    </row>
    <row r="17" customFormat="false" ht="15" hidden="false" customHeight="false" outlineLevel="0" collapsed="false">
      <c r="A17" s="4" t="s">
        <v>970</v>
      </c>
      <c r="B17" s="5" t="s">
        <v>971</v>
      </c>
      <c r="C17" s="27"/>
      <c r="D17" s="27"/>
      <c r="E17" s="27"/>
      <c r="F17" s="27"/>
      <c r="G17" s="27"/>
      <c r="H17" s="27"/>
      <c r="I17" s="27"/>
      <c r="J17" s="27"/>
      <c r="K17" s="27"/>
      <c r="L17" s="27"/>
      <c r="M17" s="27"/>
      <c r="N17" s="27"/>
      <c r="O17" s="19" t="str">
        <f aca="false">IF(COUNT(C17:N17)=0,"",AVERAGE(C17:N17))</f>
        <v/>
      </c>
      <c r="P17" s="13" t="n">
        <f aca="false">COUNTIF(C17:N17,"&lt;"&amp;Lists!$L$5)</f>
        <v>0</v>
      </c>
      <c r="Q17" s="6"/>
    </row>
    <row r="20" customFormat="false" ht="15" hidden="false" customHeight="false" outlineLevel="0" collapsed="false">
      <c r="A20" s="3" t="s">
        <v>1059</v>
      </c>
    </row>
    <row r="21" customFormat="false" ht="35.05" hidden="false" customHeight="false" outlineLevel="0" collapsed="false">
      <c r="A21" s="8" t="s">
        <v>64</v>
      </c>
      <c r="B21" s="8" t="s">
        <v>1060</v>
      </c>
      <c r="C21" s="8" t="str">
        <f aca="false">C$5</f>
        <v>C-001</v>
      </c>
      <c r="D21" s="8" t="str">
        <f aca="false">D$5</f>
        <v>C-002</v>
      </c>
      <c r="E21" s="8" t="str">
        <f aca="false">E$5</f>
        <v>C-003</v>
      </c>
      <c r="F21" s="8" t="str">
        <f aca="false">F$5</f>
        <v>C-004</v>
      </c>
      <c r="G21" s="8" t="str">
        <f aca="false">G$5</f>
        <v>C-005</v>
      </c>
      <c r="H21" s="8" t="str">
        <f aca="false">H$5</f>
        <v>C-006</v>
      </c>
      <c r="I21" s="8" t="str">
        <f aca="false">I$5</f>
        <v>C-007</v>
      </c>
      <c r="J21" s="8" t="str">
        <f aca="false">J$5</f>
        <v>C-008</v>
      </c>
      <c r="K21" s="8" t="str">
        <f aca="false">K$5</f>
        <v>C-009</v>
      </c>
      <c r="L21" s="8" t="str">
        <f aca="false">L$5</f>
        <v>C-010</v>
      </c>
      <c r="M21" s="8" t="str">
        <f aca="false">M$5</f>
        <v>C-011</v>
      </c>
      <c r="N21" s="8" t="str">
        <f aca="false">N$5</f>
        <v>C-012</v>
      </c>
      <c r="O21" s="8" t="s">
        <v>1061</v>
      </c>
      <c r="P21" s="8" t="s">
        <v>1062</v>
      </c>
      <c r="Q21" s="8" t="s">
        <v>1063</v>
      </c>
    </row>
    <row r="22" customFormat="false" ht="25.5" hidden="false" customHeight="true" outlineLevel="0" collapsed="false">
      <c r="A22" s="4" t="str">
        <f aca="false">Checklist!A5</f>
        <v>IAM-01</v>
      </c>
      <c r="B22" s="5" t="str">
        <f aca="false">Checklist!D5</f>
        <v>Identity architecture documented and healthy (cloud-only / hybrid; Entra Connect or Cloud Sync; sync status)</v>
      </c>
      <c r="C22" s="9"/>
      <c r="D22" s="9"/>
      <c r="E22" s="9"/>
      <c r="F22" s="9"/>
      <c r="G22" s="9"/>
      <c r="H22" s="9"/>
      <c r="I22" s="9"/>
      <c r="J22" s="9"/>
      <c r="K22" s="9"/>
      <c r="L22" s="9"/>
      <c r="M22" s="9"/>
      <c r="N22" s="9"/>
      <c r="O22" s="13" t="n">
        <f aca="false">SUM(C22:N22)</f>
        <v>0</v>
      </c>
      <c r="P22" s="13" t="str">
        <f aca="false">IF(O22&gt;=3,"Yes","")</f>
        <v/>
      </c>
      <c r="Q22" s="6"/>
    </row>
    <row r="23" customFormat="false" ht="25.5" hidden="false" customHeight="true" outlineLevel="0" collapsed="false">
      <c r="A23" s="4" t="str">
        <f aca="false">Checklist!A6</f>
        <v>IAM-02</v>
      </c>
      <c r="B23" s="5" t="str">
        <f aca="false">Checklist!D6</f>
        <v>MFA enforced for all users via Conditional Access (not legacy per-user MFA); registration coverage</v>
      </c>
      <c r="C23" s="9"/>
      <c r="D23" s="9"/>
      <c r="E23" s="9"/>
      <c r="F23" s="9"/>
      <c r="G23" s="9"/>
      <c r="H23" s="9"/>
      <c r="I23" s="9"/>
      <c r="J23" s="9"/>
      <c r="K23" s="9"/>
      <c r="L23" s="9"/>
      <c r="M23" s="9"/>
      <c r="N23" s="9"/>
      <c r="O23" s="13" t="n">
        <f aca="false">SUM(C23:N23)</f>
        <v>0</v>
      </c>
      <c r="P23" s="13" t="str">
        <f aca="false">IF(O23&gt;=3,"Yes","")</f>
        <v/>
      </c>
      <c r="Q23" s="6"/>
    </row>
    <row r="24" customFormat="false" ht="25.5" hidden="false" customHeight="true" outlineLevel="0" collapsed="false">
      <c r="A24" s="4" t="str">
        <f aca="false">Checklist!A7</f>
        <v>IAM-03</v>
      </c>
      <c r="B24" s="5" t="str">
        <f aca="false">Checklist!D7</f>
        <v>Strong / phishing-resistant MFA for privileged users; weak methods (SMS/voice) disabled; number matching on</v>
      </c>
      <c r="C24" s="9"/>
      <c r="D24" s="9"/>
      <c r="E24" s="9"/>
      <c r="F24" s="9"/>
      <c r="G24" s="9"/>
      <c r="H24" s="9"/>
      <c r="I24" s="9"/>
      <c r="J24" s="9"/>
      <c r="K24" s="9"/>
      <c r="L24" s="9"/>
      <c r="M24" s="9"/>
      <c r="N24" s="9"/>
      <c r="O24" s="13" t="n">
        <f aca="false">SUM(C24:N24)</f>
        <v>0</v>
      </c>
      <c r="P24" s="13" t="str">
        <f aca="false">IF(O24&gt;=3,"Yes","")</f>
        <v/>
      </c>
      <c r="Q24" s="6"/>
    </row>
    <row r="25" customFormat="false" ht="25.5" hidden="false" customHeight="true" outlineLevel="0" collapsed="false">
      <c r="A25" s="4" t="str">
        <f aca="false">Checklist!A8</f>
        <v>IAM-04</v>
      </c>
      <c r="B25" s="5" t="str">
        <f aca="false">Checklist!D8</f>
        <v>Legacy authentication blocked (CA block policy; basic auth off in Exchange Online)</v>
      </c>
      <c r="C25" s="9"/>
      <c r="D25" s="9"/>
      <c r="E25" s="9"/>
      <c r="F25" s="9"/>
      <c r="G25" s="9"/>
      <c r="H25" s="9"/>
      <c r="I25" s="9"/>
      <c r="J25" s="9"/>
      <c r="K25" s="9"/>
      <c r="L25" s="9"/>
      <c r="M25" s="9"/>
      <c r="N25" s="9"/>
      <c r="O25" s="13" t="n">
        <f aca="false">SUM(C25:N25)</f>
        <v>0</v>
      </c>
      <c r="P25" s="13" t="str">
        <f aca="false">IF(O25&gt;=3,"Yes","")</f>
        <v/>
      </c>
      <c r="Q25" s="6"/>
    </row>
    <row r="26" customFormat="false" ht="25.5" hidden="false" customHeight="true" outlineLevel="0" collapsed="false">
      <c r="A26" s="4" t="str">
        <f aca="false">Checklist!A9</f>
        <v>IAM-05</v>
      </c>
      <c r="B26" s="5" t="str">
        <f aca="false">Checklist!D9</f>
        <v>Privileged role hygiene: Global Admin count 2-4, dedicated cloud-only admin accounts, least-privilege roles, PIM/JIT where licensed</v>
      </c>
      <c r="C26" s="9"/>
      <c r="D26" s="9"/>
      <c r="E26" s="9"/>
      <c r="F26" s="9"/>
      <c r="G26" s="9"/>
      <c r="H26" s="9"/>
      <c r="I26" s="9"/>
      <c r="J26" s="9"/>
      <c r="K26" s="9"/>
      <c r="L26" s="9"/>
      <c r="M26" s="9"/>
      <c r="N26" s="9"/>
      <c r="O26" s="13" t="n">
        <f aca="false">SUM(C26:N26)</f>
        <v>0</v>
      </c>
      <c r="P26" s="13" t="str">
        <f aca="false">IF(O26&gt;=3,"Yes","")</f>
        <v/>
      </c>
      <c r="Q26" s="6"/>
    </row>
    <row r="27" customFormat="false" ht="25.5" hidden="false" customHeight="true" outlineLevel="0" collapsed="false">
      <c r="A27" s="4" t="str">
        <f aca="false">Checklist!A10</f>
        <v>IAM-06</v>
      </c>
      <c r="B27" s="5" t="str">
        <f aca="false">Checklist!D10</f>
        <v>Break-glass accounts: two exist, cloud-only, excluded from CA, credentials vaulted, sign-in alert configured</v>
      </c>
      <c r="C27" s="9"/>
      <c r="D27" s="9"/>
      <c r="E27" s="9"/>
      <c r="F27" s="9"/>
      <c r="G27" s="9"/>
      <c r="H27" s="9"/>
      <c r="I27" s="9"/>
      <c r="J27" s="9"/>
      <c r="K27" s="9"/>
      <c r="L27" s="9"/>
      <c r="M27" s="9"/>
      <c r="N27" s="9"/>
      <c r="O27" s="13" t="n">
        <f aca="false">SUM(C27:N27)</f>
        <v>0</v>
      </c>
      <c r="P27" s="13" t="str">
        <f aca="false">IF(O27&gt;=3,"Yes","")</f>
        <v/>
      </c>
      <c r="Q27" s="6"/>
    </row>
    <row r="28" customFormat="false" ht="25.5" hidden="false" customHeight="true" outlineLevel="0" collapsed="false">
      <c r="A28" s="4" t="str">
        <f aca="false">Checklist!A11</f>
        <v>IAM-07</v>
      </c>
      <c r="B28" s="5" t="str">
        <f aca="false">Checklist!D11</f>
        <v>Partner access is GDAP (not DAP) with least-privilege roles; bA access via Lighthouse named admin accounts; no shared customer admin accounts in CyberArk</v>
      </c>
      <c r="C28" s="9"/>
      <c r="D28" s="9"/>
      <c r="E28" s="9"/>
      <c r="F28" s="9"/>
      <c r="G28" s="9"/>
      <c r="H28" s="9"/>
      <c r="I28" s="9"/>
      <c r="J28" s="9"/>
      <c r="K28" s="9"/>
      <c r="L28" s="9"/>
      <c r="M28" s="9"/>
      <c r="N28" s="9"/>
      <c r="O28" s="13" t="n">
        <f aca="false">SUM(C28:N28)</f>
        <v>0</v>
      </c>
      <c r="P28" s="13" t="str">
        <f aca="false">IF(O28&gt;=3,"Yes","")</f>
        <v/>
      </c>
      <c r="Q28" s="6"/>
    </row>
    <row r="29" customFormat="false" ht="25.5" hidden="false" customHeight="true" outlineLevel="0" collapsed="false">
      <c r="A29" s="4" t="str">
        <f aca="false">Checklist!A12</f>
        <v>IAM-08</v>
      </c>
      <c r="B29" s="5" t="str">
        <f aca="false">Checklist!D12</f>
        <v>Guest and external identity governance: stale guests removed, collaboration settings restricted, access reviews where licensed</v>
      </c>
      <c r="C29" s="9"/>
      <c r="D29" s="9"/>
      <c r="E29" s="9"/>
      <c r="F29" s="9"/>
      <c r="G29" s="9"/>
      <c r="H29" s="9"/>
      <c r="I29" s="9"/>
      <c r="J29" s="9"/>
      <c r="K29" s="9"/>
      <c r="L29" s="9"/>
      <c r="M29" s="9"/>
      <c r="N29" s="9"/>
      <c r="O29" s="13" t="n">
        <f aca="false">SUM(C29:N29)</f>
        <v>0</v>
      </c>
      <c r="P29" s="13" t="str">
        <f aca="false">IF(O29&gt;=3,"Yes","")</f>
        <v/>
      </c>
      <c r="Q29" s="6"/>
    </row>
    <row r="30" customFormat="false" ht="25.5" hidden="false" customHeight="true" outlineLevel="0" collapsed="false">
      <c r="A30" s="4" t="str">
        <f aca="false">Checklist!A13</f>
        <v>IAM-09</v>
      </c>
      <c r="B30" s="5" t="str">
        <f aca="false">Checklist!D13</f>
        <v>Account lifecycle: stale users/computers disabled, JML (joiner-mover-leaver) process defined, service accounts inventoried with owners</v>
      </c>
      <c r="C30" s="9"/>
      <c r="D30" s="9"/>
      <c r="E30" s="9"/>
      <c r="F30" s="9"/>
      <c r="G30" s="9"/>
      <c r="H30" s="9"/>
      <c r="I30" s="9"/>
      <c r="J30" s="9"/>
      <c r="K30" s="9"/>
      <c r="L30" s="9"/>
      <c r="M30" s="9"/>
      <c r="N30" s="9"/>
      <c r="O30" s="13" t="n">
        <f aca="false">SUM(C30:N30)</f>
        <v>0</v>
      </c>
      <c r="P30" s="13" t="str">
        <f aca="false">IF(O30&gt;=3,"Yes","")</f>
        <v/>
      </c>
      <c r="Q30" s="6"/>
    </row>
    <row r="31" customFormat="false" ht="25.5" hidden="false" customHeight="true" outlineLevel="0" collapsed="false">
      <c r="A31" s="4" t="str">
        <f aca="false">Checklist!A14</f>
        <v>IAM-10</v>
      </c>
      <c r="B31" s="5" t="str">
        <f aca="false">Checklist!D14</f>
        <v>On-prem AD DS health (if hybrid): supported DC OS, replication clean, FSMO/DNS sane, KRBTGT rotated, recycle bin on, legacy protocols disabled</v>
      </c>
      <c r="C31" s="9"/>
      <c r="D31" s="9"/>
      <c r="E31" s="9"/>
      <c r="F31" s="9"/>
      <c r="G31" s="9"/>
      <c r="H31" s="9"/>
      <c r="I31" s="9"/>
      <c r="J31" s="9"/>
      <c r="K31" s="9"/>
      <c r="L31" s="9"/>
      <c r="M31" s="9"/>
      <c r="N31" s="9"/>
      <c r="O31" s="13" t="n">
        <f aca="false">SUM(C31:N31)</f>
        <v>0</v>
      </c>
      <c r="P31" s="13" t="str">
        <f aca="false">IF(O31&gt;=3,"Yes","")</f>
        <v/>
      </c>
      <c r="Q31" s="6"/>
    </row>
    <row r="32" customFormat="false" ht="25.5" hidden="false" customHeight="true" outlineLevel="0" collapsed="false">
      <c r="A32" s="4" t="str">
        <f aca="false">Checklist!A15</f>
        <v>IAM-11</v>
      </c>
      <c r="B32" s="5" t="str">
        <f aca="false">Checklist!D15</f>
        <v>Credential policy: Entra Password Protection (incl. on-prem agent), sensible expiry policy, Windows LAPS for local admin passwords</v>
      </c>
      <c r="C32" s="9"/>
      <c r="D32" s="9"/>
      <c r="E32" s="9"/>
      <c r="F32" s="9"/>
      <c r="G32" s="9"/>
      <c r="H32" s="9"/>
      <c r="I32" s="9"/>
      <c r="J32" s="9"/>
      <c r="K32" s="9"/>
      <c r="L32" s="9"/>
      <c r="M32" s="9"/>
      <c r="N32" s="9"/>
      <c r="O32" s="13" t="n">
        <f aca="false">SUM(C32:N32)</f>
        <v>0</v>
      </c>
      <c r="P32" s="13" t="str">
        <f aca="false">IF(O32&gt;=3,"Yes","")</f>
        <v/>
      </c>
      <c r="Q32" s="6"/>
    </row>
    <row r="33" customFormat="false" ht="25.5" hidden="false" customHeight="true" outlineLevel="0" collapsed="false">
      <c r="A33" s="4" t="str">
        <f aca="false">Checklist!A16</f>
        <v>IAM-12</v>
      </c>
      <c r="B33" s="5" t="str">
        <f aca="false">Checklist!D16</f>
        <v>Conditional Access baseline: compliant/hybrid-joined device for corporate apps, unsupported platforms blocked, session controls for unmanaged devices, named locations</v>
      </c>
      <c r="C33" s="9"/>
      <c r="D33" s="9"/>
      <c r="E33" s="9"/>
      <c r="F33" s="9"/>
      <c r="G33" s="9"/>
      <c r="H33" s="9"/>
      <c r="I33" s="9"/>
      <c r="J33" s="9"/>
      <c r="K33" s="9"/>
      <c r="L33" s="9"/>
      <c r="M33" s="9"/>
      <c r="N33" s="9"/>
      <c r="O33" s="13" t="n">
        <f aca="false">SUM(C33:N33)</f>
        <v>0</v>
      </c>
      <c r="P33" s="13" t="str">
        <f aca="false">IF(O33&gt;=3,"Yes","")</f>
        <v/>
      </c>
      <c r="Q33" s="6"/>
    </row>
    <row r="34" customFormat="false" ht="25.5" hidden="false" customHeight="true" outlineLevel="0" collapsed="false">
      <c r="A34" s="4" t="str">
        <f aca="false">Checklist!A17</f>
        <v>IAM-13</v>
      </c>
      <c r="B34" s="5" t="str">
        <f aca="false">Checklist!D17</f>
        <v>Identity Protection / risky sign-in handling (P2): risk policies enabled, risky users remediated, alerts routed to MDR/SOC</v>
      </c>
      <c r="C34" s="9"/>
      <c r="D34" s="9"/>
      <c r="E34" s="9"/>
      <c r="F34" s="9"/>
      <c r="G34" s="9"/>
      <c r="H34" s="9"/>
      <c r="I34" s="9"/>
      <c r="J34" s="9"/>
      <c r="K34" s="9"/>
      <c r="L34" s="9"/>
      <c r="M34" s="9"/>
      <c r="N34" s="9"/>
      <c r="O34" s="13" t="n">
        <f aca="false">SUM(C34:N34)</f>
        <v>0</v>
      </c>
      <c r="P34" s="13" t="str">
        <f aca="false">IF(O34&gt;=3,"Yes","")</f>
        <v/>
      </c>
      <c r="Q34" s="6"/>
    </row>
    <row r="35" customFormat="false" ht="25.5" hidden="false" customHeight="true" outlineLevel="0" collapsed="false">
      <c r="A35" s="4" t="str">
        <f aca="false">Checklist!A18</f>
        <v>IAM-14</v>
      </c>
      <c r="B35" s="5" t="str">
        <f aca="false">Checklist!D18</f>
        <v>SaaS SSO coverage and app consent governance: key apps behind Entra SSO; user consent to unverified apps blocked; admin consent workflow</v>
      </c>
      <c r="C35" s="9"/>
      <c r="D35" s="9"/>
      <c r="E35" s="9"/>
      <c r="F35" s="9"/>
      <c r="G35" s="9"/>
      <c r="H35" s="9"/>
      <c r="I35" s="9"/>
      <c r="J35" s="9"/>
      <c r="K35" s="9"/>
      <c r="L35" s="9"/>
      <c r="M35" s="9"/>
      <c r="N35" s="9"/>
      <c r="O35" s="13" t="n">
        <f aca="false">SUM(C35:N35)</f>
        <v>0</v>
      </c>
      <c r="P35" s="13" t="str">
        <f aca="false">IF(O35&gt;=3,"Yes","")</f>
        <v/>
      </c>
      <c r="Q35" s="6"/>
    </row>
    <row r="36" customFormat="false" ht="25.5" hidden="false" customHeight="true" outlineLevel="0" collapsed="false">
      <c r="A36" s="4" t="str">
        <f aca="false">Checklist!A19</f>
        <v>M365-01</v>
      </c>
      <c r="B36" s="5" t="str">
        <f aca="false">Checklist!D19</f>
        <v>Tenant baseline: Microsoft Secure Score tracked, top actions actioned or formally risk-accepted, quarterly M365 Health Report top-3 closed</v>
      </c>
      <c r="C36" s="9"/>
      <c r="D36" s="9"/>
      <c r="E36" s="9"/>
      <c r="F36" s="9"/>
      <c r="G36" s="9"/>
      <c r="H36" s="9"/>
      <c r="I36" s="9"/>
      <c r="J36" s="9"/>
      <c r="K36" s="9"/>
      <c r="L36" s="9"/>
      <c r="M36" s="9"/>
      <c r="N36" s="9"/>
      <c r="O36" s="13" t="n">
        <f aca="false">SUM(C36:N36)</f>
        <v>0</v>
      </c>
      <c r="P36" s="13" t="str">
        <f aca="false">IF(O36&gt;=3,"Yes","")</f>
        <v/>
      </c>
      <c r="Q36" s="6"/>
    </row>
    <row r="37" customFormat="false" ht="25.5" hidden="false" customHeight="true" outlineLevel="0" collapsed="false">
      <c r="A37" s="4" t="str">
        <f aca="false">Checklist!A20</f>
        <v>M365-02</v>
      </c>
      <c r="B37" s="5" t="str">
        <f aca="false">Checklist!D20</f>
        <v>Email authentication: SPF (single record, &lt; 10 lookups, -all), DKIM on all sending domains and third-party senders, DMARC at quarantine/reject with reporting</v>
      </c>
      <c r="C37" s="9"/>
      <c r="D37" s="9"/>
      <c r="E37" s="9"/>
      <c r="F37" s="9"/>
      <c r="G37" s="9"/>
      <c r="H37" s="9"/>
      <c r="I37" s="9"/>
      <c r="J37" s="9"/>
      <c r="K37" s="9"/>
      <c r="L37" s="9"/>
      <c r="M37" s="9"/>
      <c r="N37" s="9"/>
      <c r="O37" s="13" t="n">
        <f aca="false">SUM(C37:N37)</f>
        <v>0</v>
      </c>
      <c r="P37" s="13" t="str">
        <f aca="false">IF(O37&gt;=3,"Yes","")</f>
        <v/>
      </c>
      <c r="Q37" s="6"/>
    </row>
    <row r="38" customFormat="false" ht="25.5" hidden="false" customHeight="true" outlineLevel="0" collapsed="false">
      <c r="A38" s="4" t="str">
        <f aca="false">Checklist!A21</f>
        <v>M365-03</v>
      </c>
      <c r="B38" s="5" t="str">
        <f aca="false">Checklist!D21</f>
        <v>Inbound mail protection: Mimecast or Defender for Office 365 with impersonation/anti-phish, Safe Links/Attachments (or URL Protect/Attachment Protect), connectors locked to the gateway</v>
      </c>
      <c r="C38" s="9"/>
      <c r="D38" s="9"/>
      <c r="E38" s="9"/>
      <c r="F38" s="9"/>
      <c r="G38" s="9"/>
      <c r="H38" s="9"/>
      <c r="I38" s="9"/>
      <c r="J38" s="9"/>
      <c r="K38" s="9"/>
      <c r="L38" s="9"/>
      <c r="M38" s="9"/>
      <c r="N38" s="9"/>
      <c r="O38" s="13" t="n">
        <f aca="false">SUM(C38:N38)</f>
        <v>0</v>
      </c>
      <c r="P38" s="13" t="str">
        <f aca="false">IF(O38&gt;=3,"Yes","")</f>
        <v/>
      </c>
      <c r="Q38" s="6"/>
    </row>
    <row r="39" customFormat="false" ht="25.5" hidden="false" customHeight="true" outlineLevel="0" collapsed="false">
      <c r="A39" s="4" t="str">
        <f aca="false">Checklist!A22</f>
        <v>M365-04</v>
      </c>
      <c r="B39" s="5" t="str">
        <f aca="false">Checklist!D22</f>
        <v>Mailbox hygiene: external auto-forwarding blocked, forwarding report clean, mailbox auditing on, shared mailboxes sign-in blocked, inactive licensed mailboxes reviewed</v>
      </c>
      <c r="C39" s="9"/>
      <c r="D39" s="9"/>
      <c r="E39" s="9"/>
      <c r="F39" s="9"/>
      <c r="G39" s="9"/>
      <c r="H39" s="9"/>
      <c r="I39" s="9"/>
      <c r="J39" s="9"/>
      <c r="K39" s="9"/>
      <c r="L39" s="9"/>
      <c r="M39" s="9"/>
      <c r="N39" s="9"/>
      <c r="O39" s="13" t="n">
        <f aca="false">SUM(C39:N39)</f>
        <v>0</v>
      </c>
      <c r="P39" s="13" t="str">
        <f aca="false">IF(O39&gt;=3,"Yes","")</f>
        <v/>
      </c>
      <c r="Q39" s="6"/>
    </row>
    <row r="40" customFormat="false" ht="25.5" hidden="false" customHeight="true" outlineLevel="0" collapsed="false">
      <c r="A40" s="4" t="str">
        <f aca="false">Checklist!A23</f>
        <v>M365-05</v>
      </c>
      <c r="B40" s="5" t="str">
        <f aca="false">Checklist!D23</f>
        <v>Exchange on-prem residual: no Exchange 2016/2019 (EoS 14 Oct 2025) - migrated to Exchange SE or removed; last-Exchange-server for recipient management handled</v>
      </c>
      <c r="C40" s="9"/>
      <c r="D40" s="9"/>
      <c r="E40" s="9"/>
      <c r="F40" s="9"/>
      <c r="G40" s="9"/>
      <c r="H40" s="9"/>
      <c r="I40" s="9"/>
      <c r="J40" s="9"/>
      <c r="K40" s="9"/>
      <c r="L40" s="9"/>
      <c r="M40" s="9"/>
      <c r="N40" s="9"/>
      <c r="O40" s="13" t="n">
        <f aca="false">SUM(C40:N40)</f>
        <v>0</v>
      </c>
      <c r="P40" s="13" t="str">
        <f aca="false">IF(O40&gt;=3,"Yes","")</f>
        <v/>
      </c>
      <c r="Q40" s="6"/>
    </row>
    <row r="41" customFormat="false" ht="25.5" hidden="false" customHeight="true" outlineLevel="0" collapsed="false">
      <c r="A41" s="4" t="str">
        <f aca="false">Checklist!A24</f>
        <v>M365-06</v>
      </c>
      <c r="B41" s="5" t="str">
        <f aca="false">Checklist!D24</f>
        <v>SharePoint/OneDrive sharing: external sharing scoped, Anyone links off or expiring, default link type internal, unmanaged-device session controls, guest expiry</v>
      </c>
      <c r="C41" s="9"/>
      <c r="D41" s="9"/>
      <c r="E41" s="9"/>
      <c r="F41" s="9"/>
      <c r="G41" s="9"/>
      <c r="H41" s="9"/>
      <c r="I41" s="9"/>
      <c r="J41" s="9"/>
      <c r="K41" s="9"/>
      <c r="L41" s="9"/>
      <c r="M41" s="9"/>
      <c r="N41" s="9"/>
      <c r="O41" s="13" t="n">
        <f aca="false">SUM(C41:N41)</f>
        <v>0</v>
      </c>
      <c r="P41" s="13" t="str">
        <f aca="false">IF(O41&gt;=3,"Yes","")</f>
        <v/>
      </c>
      <c r="Q41" s="6"/>
    </row>
    <row r="42" customFormat="false" ht="25.5" hidden="false" customHeight="true" outlineLevel="0" collapsed="false">
      <c r="A42" s="4" t="str">
        <f aca="false">Checklist!A25</f>
        <v>M365-07</v>
      </c>
      <c r="B42" s="5" t="str">
        <f aca="false">Checklist!D25</f>
        <v>Teams governance: external access/federation and guest access deliberate, meeting policies (anonymous join, lobby), third-party app policies, team sprawl managed</v>
      </c>
      <c r="C42" s="9"/>
      <c r="D42" s="9"/>
      <c r="E42" s="9"/>
      <c r="F42" s="9"/>
      <c r="G42" s="9"/>
      <c r="H42" s="9"/>
      <c r="I42" s="9"/>
      <c r="J42" s="9"/>
      <c r="K42" s="9"/>
      <c r="L42" s="9"/>
      <c r="M42" s="9"/>
      <c r="N42" s="9"/>
      <c r="O42" s="13" t="n">
        <f aca="false">SUM(C42:N42)</f>
        <v>0</v>
      </c>
      <c r="P42" s="13" t="str">
        <f aca="false">IF(O42&gt;=3,"Yes","")</f>
        <v/>
      </c>
      <c r="Q42" s="6"/>
    </row>
    <row r="43" customFormat="false" ht="25.5" hidden="false" customHeight="true" outlineLevel="0" collapsed="false">
      <c r="A43" s="4" t="str">
        <f aca="false">Checklist!A26</f>
        <v>M365-08</v>
      </c>
      <c r="B43" s="5" t="str">
        <f aca="false">Checklist!D26</f>
        <v>Data protection: retention policies for Exchange/SharePoint/Teams, DLP baseline (AU PII/TFN/credit card), sensitivity labels where licensed, audit log retention</v>
      </c>
      <c r="C43" s="9"/>
      <c r="D43" s="9"/>
      <c r="E43" s="9"/>
      <c r="F43" s="9"/>
      <c r="G43" s="9"/>
      <c r="H43" s="9"/>
      <c r="I43" s="9"/>
      <c r="J43" s="9"/>
      <c r="K43" s="9"/>
      <c r="L43" s="9"/>
      <c r="M43" s="9"/>
      <c r="N43" s="9"/>
      <c r="O43" s="13" t="n">
        <f aca="false">SUM(C43:N43)</f>
        <v>0</v>
      </c>
      <c r="P43" s="13" t="str">
        <f aca="false">IF(O43&gt;=3,"Yes","")</f>
        <v/>
      </c>
      <c r="Q43" s="6"/>
    </row>
    <row r="44" customFormat="false" ht="25.5" hidden="false" customHeight="true" outlineLevel="0" collapsed="false">
      <c r="A44" s="4" t="str">
        <f aca="false">Checklist!A27</f>
        <v>M365-09</v>
      </c>
      <c r="B44" s="5" t="str">
        <f aca="false">Checklist!D27</f>
        <v>Microsoft 365 backup (third-party) covering Exchange, SharePoint, OneDrive and Teams; coverage %, last job success, restore tested</v>
      </c>
      <c r="C44" s="9"/>
      <c r="D44" s="9"/>
      <c r="E44" s="9"/>
      <c r="F44" s="9"/>
      <c r="G44" s="9"/>
      <c r="H44" s="9"/>
      <c r="I44" s="9"/>
      <c r="J44" s="9"/>
      <c r="K44" s="9"/>
      <c r="L44" s="9"/>
      <c r="M44" s="9"/>
      <c r="N44" s="9"/>
      <c r="O44" s="13" t="n">
        <f aca="false">SUM(C44:N44)</f>
        <v>0</v>
      </c>
      <c r="P44" s="13" t="str">
        <f aca="false">IF(O44&gt;=3,"Yes","")</f>
        <v/>
      </c>
      <c r="Q44" s="6"/>
    </row>
    <row r="45" customFormat="false" ht="25.5" hidden="false" customHeight="true" outlineLevel="0" collapsed="false">
      <c r="A45" s="4" t="str">
        <f aca="false">Checklist!A28</f>
        <v>M365-10</v>
      </c>
      <c r="B45" s="5" t="str">
        <f aca="false">Checklist!D28</f>
        <v>Licensing fit: SKU inventory vs assigned vs active; unused licences; security features licensed but not deployed (P1/P2, Defender for Endpoint, Intune, Purview)</v>
      </c>
      <c r="C45" s="9"/>
      <c r="D45" s="9"/>
      <c r="E45" s="9"/>
      <c r="F45" s="9"/>
      <c r="G45" s="9"/>
      <c r="H45" s="9"/>
      <c r="I45" s="9"/>
      <c r="J45" s="9"/>
      <c r="K45" s="9"/>
      <c r="L45" s="9"/>
      <c r="M45" s="9"/>
      <c r="N45" s="9"/>
      <c r="O45" s="13" t="n">
        <f aca="false">SUM(C45:N45)</f>
        <v>0</v>
      </c>
      <c r="P45" s="13" t="str">
        <f aca="false">IF(O45&gt;=3,"Yes","")</f>
        <v/>
      </c>
      <c r="Q45" s="6"/>
    </row>
    <row r="46" customFormat="false" ht="25.5" hidden="false" customHeight="true" outlineLevel="0" collapsed="false">
      <c r="A46" s="4" t="str">
        <f aca="false">Checklist!A29</f>
        <v>M365-11</v>
      </c>
      <c r="B46" s="5" t="str">
        <f aca="false">Checklist!D29</f>
        <v>Service health and Message Centre monitored; upcoming retirements/breaking changes tracked in LOG.md</v>
      </c>
      <c r="C46" s="9"/>
      <c r="D46" s="9"/>
      <c r="E46" s="9"/>
      <c r="F46" s="9"/>
      <c r="G46" s="9"/>
      <c r="H46" s="9"/>
      <c r="I46" s="9"/>
      <c r="J46" s="9"/>
      <c r="K46" s="9"/>
      <c r="L46" s="9"/>
      <c r="M46" s="9"/>
      <c r="N46" s="9"/>
      <c r="O46" s="13" t="n">
        <f aca="false">SUM(C46:N46)</f>
        <v>0</v>
      </c>
      <c r="P46" s="13" t="str">
        <f aca="false">IF(O46&gt;=3,"Yes","")</f>
        <v/>
      </c>
      <c r="Q46" s="6"/>
    </row>
    <row r="47" customFormat="false" ht="25.5" hidden="false" customHeight="true" outlineLevel="0" collapsed="false">
      <c r="A47" s="4" t="str">
        <f aca="false">Checklist!A30</f>
        <v>M365-12</v>
      </c>
      <c r="B47" s="5" t="str">
        <f aca="false">Checklist!D30</f>
        <v>Alert routing: security/compliance alerts and tenant notifications go to a monitored mailbox or MDR (Huntress ITDR / Rapid7), technical contact current</v>
      </c>
      <c r="C47" s="9"/>
      <c r="D47" s="9"/>
      <c r="E47" s="9"/>
      <c r="F47" s="9"/>
      <c r="G47" s="9"/>
      <c r="H47" s="9"/>
      <c r="I47" s="9"/>
      <c r="J47" s="9"/>
      <c r="K47" s="9"/>
      <c r="L47" s="9"/>
      <c r="M47" s="9"/>
      <c r="N47" s="9"/>
      <c r="O47" s="13" t="n">
        <f aca="false">SUM(C47:N47)</f>
        <v>0</v>
      </c>
      <c r="P47" s="13" t="str">
        <f aca="false">IF(O47&gt;=3,"Yes","")</f>
        <v/>
      </c>
      <c r="Q47" s="6"/>
    </row>
    <row r="48" customFormat="false" ht="25.5" hidden="false" customHeight="true" outlineLevel="0" collapsed="false">
      <c r="A48" s="4" t="str">
        <f aca="false">Checklist!A31</f>
        <v>END-01</v>
      </c>
      <c r="B48" s="5" t="str">
        <f aca="false">Checklist!D31</f>
        <v>Device inventory and management coverage: every workstation/laptop/mobile enrolled in Intune (or GPO/ConfigMgr) and in RMM; unmanaged device count</v>
      </c>
      <c r="C48" s="9"/>
      <c r="D48" s="9"/>
      <c r="E48" s="9"/>
      <c r="F48" s="9"/>
      <c r="G48" s="9"/>
      <c r="H48" s="9"/>
      <c r="I48" s="9"/>
      <c r="J48" s="9"/>
      <c r="K48" s="9"/>
      <c r="L48" s="9"/>
      <c r="M48" s="9"/>
      <c r="N48" s="9"/>
      <c r="O48" s="13" t="n">
        <f aca="false">SUM(C48:N48)</f>
        <v>0</v>
      </c>
      <c r="P48" s="13" t="str">
        <f aca="false">IF(O48&gt;=3,"Yes","")</f>
        <v/>
      </c>
      <c r="Q48" s="6"/>
    </row>
    <row r="49" customFormat="false" ht="25.5" hidden="false" customHeight="true" outlineLevel="0" collapsed="false">
      <c r="A49" s="4" t="str">
        <f aca="false">Checklist!A32</f>
        <v>END-02</v>
      </c>
      <c r="B49" s="5" t="str">
        <f aca="false">Checklist!D32</f>
        <v>OS currency: Windows 11 only (Windows 10 EoS 14 Oct 2025; ESU only as documented exception), macOS n/n-1, feature update rings defined</v>
      </c>
      <c r="C49" s="9"/>
      <c r="D49" s="9"/>
      <c r="E49" s="9"/>
      <c r="F49" s="9"/>
      <c r="G49" s="9"/>
      <c r="H49" s="9"/>
      <c r="I49" s="9"/>
      <c r="J49" s="9"/>
      <c r="K49" s="9"/>
      <c r="L49" s="9"/>
      <c r="M49" s="9"/>
      <c r="N49" s="9"/>
      <c r="O49" s="13" t="n">
        <f aca="false">SUM(C49:N49)</f>
        <v>0</v>
      </c>
      <c r="P49" s="13" t="str">
        <f aca="false">IF(O49&gt;=3,"Yes","")</f>
        <v/>
      </c>
      <c r="Q49" s="6"/>
    </row>
    <row r="50" customFormat="false" ht="25.5" hidden="false" customHeight="true" outlineLevel="0" collapsed="false">
      <c r="A50" s="4" t="str">
        <f aca="false">Checklist!A33</f>
        <v>END-03</v>
      </c>
      <c r="B50" s="5" t="str">
        <f aca="false">Checklist!D33</f>
        <v>OS patch compliance: workstations patched within 1 month (E8 ML1), critical/exploited within 48 h where internet-facing; reboot compliance; reporting</v>
      </c>
      <c r="C50" s="9"/>
      <c r="D50" s="9"/>
      <c r="E50" s="9"/>
      <c r="F50" s="9"/>
      <c r="G50" s="9"/>
      <c r="H50" s="9"/>
      <c r="I50" s="9"/>
      <c r="J50" s="9"/>
      <c r="K50" s="9"/>
      <c r="L50" s="9"/>
      <c r="M50" s="9"/>
      <c r="N50" s="9"/>
      <c r="O50" s="13" t="n">
        <f aca="false">SUM(C50:N50)</f>
        <v>0</v>
      </c>
      <c r="P50" s="13" t="str">
        <f aca="false">IF(O50&gt;=3,"Yes","")</f>
        <v/>
      </c>
      <c r="Q50" s="6"/>
    </row>
    <row r="51" customFormat="false" ht="25.5" hidden="false" customHeight="true" outlineLevel="0" collapsed="false">
      <c r="A51" s="4" t="str">
        <f aca="false">Checklist!A34</f>
        <v>END-04</v>
      </c>
      <c r="B51" s="5" t="str">
        <f aca="false">Checklist!D34</f>
        <v>Third-party application patching: browsers, Office/M365 Apps, PDF, Java, collaboration clients patched within 2 weeks (E8 PA ML1); unsupported apps removed</v>
      </c>
      <c r="C51" s="9"/>
      <c r="D51" s="9"/>
      <c r="E51" s="9"/>
      <c r="F51" s="9"/>
      <c r="G51" s="9"/>
      <c r="H51" s="9"/>
      <c r="I51" s="9"/>
      <c r="J51" s="9"/>
      <c r="K51" s="9"/>
      <c r="L51" s="9"/>
      <c r="M51" s="9"/>
      <c r="N51" s="9"/>
      <c r="O51" s="13" t="n">
        <f aca="false">SUM(C51:N51)</f>
        <v>0</v>
      </c>
      <c r="P51" s="13" t="str">
        <f aca="false">IF(O51&gt;=3,"Yes","")</f>
        <v/>
      </c>
      <c r="Q51" s="6"/>
    </row>
    <row r="52" customFormat="false" ht="25.5" hidden="false" customHeight="true" outlineLevel="0" collapsed="false">
      <c r="A52" s="4" t="str">
        <f aca="false">Checklist!A35</f>
        <v>END-05</v>
      </c>
      <c r="B52" s="5" t="str">
        <f aca="false">Checklist!D35</f>
        <v>Endpoint vulnerability scanning: Defender Vulnerability Management or Rapid7 IVM agent on all devices; cadence per E8 ML1; critical findings aged &lt; 30 days</v>
      </c>
      <c r="C52" s="9"/>
      <c r="D52" s="9"/>
      <c r="E52" s="9"/>
      <c r="F52" s="9"/>
      <c r="G52" s="9"/>
      <c r="H52" s="9"/>
      <c r="I52" s="9"/>
      <c r="J52" s="9"/>
      <c r="K52" s="9"/>
      <c r="L52" s="9"/>
      <c r="M52" s="9"/>
      <c r="N52" s="9"/>
      <c r="O52" s="13" t="n">
        <f aca="false">SUM(C52:N52)</f>
        <v>0</v>
      </c>
      <c r="P52" s="13" t="str">
        <f aca="false">IF(O52&gt;=3,"Yes","")</f>
        <v/>
      </c>
      <c r="Q52" s="6"/>
    </row>
    <row r="53" customFormat="false" ht="25.5" hidden="false" customHeight="true" outlineLevel="0" collapsed="false">
      <c r="A53" s="4" t="str">
        <f aca="false">Checklist!A36</f>
        <v>END-06</v>
      </c>
      <c r="B53" s="5" t="str">
        <f aca="false">Checklist!D36</f>
        <v>EDR/AV coverage and health: Trend / CrowdStrike / Defender for Endpoint on 100% of devices, sensors healthy (reported &lt;= 7 days), tamper protection on, Huntress agent alongside</v>
      </c>
      <c r="C53" s="9"/>
      <c r="D53" s="9"/>
      <c r="E53" s="9"/>
      <c r="F53" s="9"/>
      <c r="G53" s="9"/>
      <c r="H53" s="9"/>
      <c r="I53" s="9"/>
      <c r="J53" s="9"/>
      <c r="K53" s="9"/>
      <c r="L53" s="9"/>
      <c r="M53" s="9"/>
      <c r="N53" s="9"/>
      <c r="O53" s="13" t="n">
        <f aca="false">SUM(C53:N53)</f>
        <v>0</v>
      </c>
      <c r="P53" s="13" t="str">
        <f aca="false">IF(O53&gt;=3,"Yes","")</f>
        <v/>
      </c>
      <c r="Q53" s="6"/>
    </row>
    <row r="54" customFormat="false" ht="25.5" hidden="false" customHeight="true" outlineLevel="0" collapsed="false">
      <c r="A54" s="4" t="str">
        <f aca="false">Checklist!A37</f>
        <v>END-07</v>
      </c>
      <c r="B54" s="5" t="str">
        <f aca="false">Checklist!D37</f>
        <v>Disk encryption: BitLocker enforced with recovery keys escrowed to Entra/Intune (or AD); FileVault on macOS; compliance report</v>
      </c>
      <c r="C54" s="9"/>
      <c r="D54" s="9"/>
      <c r="E54" s="9"/>
      <c r="F54" s="9"/>
      <c r="G54" s="9"/>
      <c r="H54" s="9"/>
      <c r="I54" s="9"/>
      <c r="J54" s="9"/>
      <c r="K54" s="9"/>
      <c r="L54" s="9"/>
      <c r="M54" s="9"/>
      <c r="N54" s="9"/>
      <c r="O54" s="13" t="n">
        <f aca="false">SUM(C54:N54)</f>
        <v>0</v>
      </c>
      <c r="P54" s="13" t="str">
        <f aca="false">IF(O54&gt;=3,"Yes","")</f>
        <v/>
      </c>
      <c r="Q54" s="6"/>
    </row>
    <row r="55" customFormat="false" ht="25.5" hidden="false" customHeight="true" outlineLevel="0" collapsed="false">
      <c r="A55" s="4" t="str">
        <f aca="false">Checklist!A38</f>
        <v>END-08</v>
      </c>
      <c r="B55" s="5" t="str">
        <f aca="false">Checklist!D38</f>
        <v>Local administrator restriction: users are not local admins; Windows LAPS on every device; documented elevation path (EPM / RMM / temporary)</v>
      </c>
      <c r="C55" s="9"/>
      <c r="D55" s="9"/>
      <c r="E55" s="9"/>
      <c r="F55" s="9"/>
      <c r="G55" s="9"/>
      <c r="H55" s="9"/>
      <c r="I55" s="9"/>
      <c r="J55" s="9"/>
      <c r="K55" s="9"/>
      <c r="L55" s="9"/>
      <c r="M55" s="9"/>
      <c r="N55" s="9"/>
      <c r="O55" s="13" t="n">
        <f aca="false">SUM(C55:N55)</f>
        <v>0</v>
      </c>
      <c r="P55" s="13" t="str">
        <f aca="false">IF(O55&gt;=3,"Yes","")</f>
        <v/>
      </c>
      <c r="Q55" s="6"/>
    </row>
    <row r="56" customFormat="false" ht="25.5" hidden="false" customHeight="true" outlineLevel="0" collapsed="false">
      <c r="A56" s="4" t="str">
        <f aca="false">Checklist!A39</f>
        <v>END-09</v>
      </c>
      <c r="B56" s="5" t="str">
        <f aca="false">Checklist!D39</f>
        <v>Application control on workstations (Airlock / WDAC / AppLocker): executables, scripts, installers, DLLs, HTA/CHM/CPL restricted; user profile and temp paths covered (E8 AC ML1)</v>
      </c>
      <c r="C56" s="9"/>
      <c r="D56" s="9"/>
      <c r="E56" s="9"/>
      <c r="F56" s="9"/>
      <c r="G56" s="9"/>
      <c r="H56" s="9"/>
      <c r="I56" s="9"/>
      <c r="J56" s="9"/>
      <c r="K56" s="9"/>
      <c r="L56" s="9"/>
      <c r="M56" s="9"/>
      <c r="N56" s="9"/>
      <c r="O56" s="13" t="n">
        <f aca="false">SUM(C56:N56)</f>
        <v>0</v>
      </c>
      <c r="P56" s="13" t="str">
        <f aca="false">IF(O56&gt;=3,"Yes","")</f>
        <v/>
      </c>
      <c r="Q56" s="6"/>
    </row>
    <row r="57" customFormat="false" ht="25.5" hidden="false" customHeight="true" outlineLevel="0" collapsed="false">
      <c r="A57" s="4" t="str">
        <f aca="false">Checklist!A40</f>
        <v>END-10</v>
      </c>
      <c r="B57" s="5" t="str">
        <f aca="false">Checklist!D40</f>
        <v>Microsoft Office macros: blocked from the internet, disabled for users without business need, AV scanning on, settings locked (E8 MAC ML1); Win32 API calls blocked (ML2)</v>
      </c>
      <c r="C57" s="9"/>
      <c r="D57" s="9"/>
      <c r="E57" s="9"/>
      <c r="F57" s="9"/>
      <c r="G57" s="9"/>
      <c r="H57" s="9"/>
      <c r="I57" s="9"/>
      <c r="J57" s="9"/>
      <c r="K57" s="9"/>
      <c r="L57" s="9"/>
      <c r="M57" s="9"/>
      <c r="N57" s="9"/>
      <c r="O57" s="13" t="n">
        <f aca="false">SUM(C57:N57)</f>
        <v>0</v>
      </c>
      <c r="P57" s="13" t="str">
        <f aca="false">IF(O57&gt;=3,"Yes","")</f>
        <v/>
      </c>
      <c r="Q57" s="6"/>
    </row>
    <row r="58" customFormat="false" ht="25.5" hidden="false" customHeight="true" outlineLevel="0" collapsed="false">
      <c r="A58" s="4" t="str">
        <f aca="false">Checklist!A41</f>
        <v>END-11</v>
      </c>
      <c r="B58" s="5" t="str">
        <f aca="false">Checklist!D41</f>
        <v>User application hardening: browser hardening (no Java/ads from internet, settings locked), IE11 removed, ASR rules for Office/PDF child processes and injection, PowerShell v2 removed, script block/command-line logging (E8 UAH ML1/ML2)</v>
      </c>
      <c r="C58" s="9"/>
      <c r="D58" s="9"/>
      <c r="E58" s="9"/>
      <c r="F58" s="9"/>
      <c r="G58" s="9"/>
      <c r="H58" s="9"/>
      <c r="I58" s="9"/>
      <c r="J58" s="9"/>
      <c r="K58" s="9"/>
      <c r="L58" s="9"/>
      <c r="M58" s="9"/>
      <c r="N58" s="9"/>
      <c r="O58" s="13" t="n">
        <f aca="false">SUM(C58:N58)</f>
        <v>0</v>
      </c>
      <c r="P58" s="13" t="str">
        <f aca="false">IF(O58&gt;=3,"Yes","")</f>
        <v/>
      </c>
      <c r="Q58" s="6"/>
    </row>
    <row r="59" customFormat="false" ht="25.5" hidden="false" customHeight="true" outlineLevel="0" collapsed="false">
      <c r="A59" s="4" t="str">
        <f aca="false">Checklist!A42</f>
        <v>END-12</v>
      </c>
      <c r="B59" s="5" t="str">
        <f aca="false">Checklist!D42</f>
        <v>Compliance policies integrated with Conditional Access: encryption, AV, firewall, OS minimum, Defender risk score; non-compliant device count and grace periods</v>
      </c>
      <c r="C59" s="9"/>
      <c r="D59" s="9"/>
      <c r="E59" s="9"/>
      <c r="F59" s="9"/>
      <c r="G59" s="9"/>
      <c r="H59" s="9"/>
      <c r="I59" s="9"/>
      <c r="J59" s="9"/>
      <c r="K59" s="9"/>
      <c r="L59" s="9"/>
      <c r="M59" s="9"/>
      <c r="N59" s="9"/>
      <c r="O59" s="13" t="n">
        <f aca="false">SUM(C59:N59)</f>
        <v>0</v>
      </c>
      <c r="P59" s="13" t="str">
        <f aca="false">IF(O59&gt;=3,"Yes","")</f>
        <v/>
      </c>
      <c r="Q59" s="6"/>
    </row>
    <row r="60" customFormat="false" ht="25.5" hidden="false" customHeight="true" outlineLevel="0" collapsed="false">
      <c r="A60" s="4" t="str">
        <f aca="false">Checklist!A43</f>
        <v>END-13</v>
      </c>
      <c r="B60" s="5" t="str">
        <f aca="false">Checklist!D43</f>
        <v>Provisioning and SOE: Autopilot registration for new devices, baseline profile documented, naming standard, Autopilot &amp; Intune best-practice checklist applied</v>
      </c>
      <c r="C60" s="9"/>
      <c r="D60" s="9"/>
      <c r="E60" s="9"/>
      <c r="F60" s="9"/>
      <c r="G60" s="9"/>
      <c r="H60" s="9"/>
      <c r="I60" s="9"/>
      <c r="J60" s="9"/>
      <c r="K60" s="9"/>
      <c r="L60" s="9"/>
      <c r="M60" s="9"/>
      <c r="N60" s="9"/>
      <c r="O60" s="13" t="n">
        <f aca="false">SUM(C60:N60)</f>
        <v>0</v>
      </c>
      <c r="P60" s="13" t="str">
        <f aca="false">IF(O60&gt;=3,"Yes","")</f>
        <v/>
      </c>
      <c r="Q60" s="6"/>
    </row>
    <row r="61" customFormat="false" ht="25.5" hidden="false" customHeight="true" outlineLevel="0" collapsed="false">
      <c r="A61" s="4" t="str">
        <f aca="false">Checklist!A44</f>
        <v>END-14</v>
      </c>
      <c r="B61" s="5" t="str">
        <f aca="false">Checklist!D44</f>
        <v>Mobile devices: iOS/Android access controlled by MAM/app protection (or MDM), PIN/biometric, selective wipe tested, BYOD stance documented</v>
      </c>
      <c r="C61" s="9"/>
      <c r="D61" s="9"/>
      <c r="E61" s="9"/>
      <c r="F61" s="9"/>
      <c r="G61" s="9"/>
      <c r="H61" s="9"/>
      <c r="I61" s="9"/>
      <c r="J61" s="9"/>
      <c r="K61" s="9"/>
      <c r="L61" s="9"/>
      <c r="M61" s="9"/>
      <c r="N61" s="9"/>
      <c r="O61" s="13" t="n">
        <f aca="false">SUM(C61:N61)</f>
        <v>0</v>
      </c>
      <c r="P61" s="13" t="str">
        <f aca="false">IF(O61&gt;=3,"Yes","")</f>
        <v/>
      </c>
      <c r="Q61" s="6"/>
    </row>
    <row r="62" customFormat="false" ht="25.5" hidden="false" customHeight="true" outlineLevel="0" collapsed="false">
      <c r="A62" s="4" t="str">
        <f aca="false">Checklist!A45</f>
        <v>END-15</v>
      </c>
      <c r="B62" s="5" t="str">
        <f aca="false">Checklist!D45</f>
        <v>Peripheral and host controls: USB removable storage policy, Windows Firewall enforced on all profiles, screen lock &lt;= 15 min, printer driver policy (Point and Print restrictions)</v>
      </c>
      <c r="C62" s="9"/>
      <c r="D62" s="9"/>
      <c r="E62" s="9"/>
      <c r="F62" s="9"/>
      <c r="G62" s="9"/>
      <c r="H62" s="9"/>
      <c r="I62" s="9"/>
      <c r="J62" s="9"/>
      <c r="K62" s="9"/>
      <c r="L62" s="9"/>
      <c r="M62" s="9"/>
      <c r="N62" s="9"/>
      <c r="O62" s="13" t="n">
        <f aca="false">SUM(C62:N62)</f>
        <v>0</v>
      </c>
      <c r="P62" s="13" t="str">
        <f aca="false">IF(O62&gt;=3,"Yes","")</f>
        <v/>
      </c>
      <c r="Q62" s="6"/>
    </row>
    <row r="63" customFormat="false" ht="25.5" hidden="false" customHeight="true" outlineLevel="0" collapsed="false">
      <c r="A63" s="4" t="str">
        <f aca="false">Checklist!A46</f>
        <v>END-16</v>
      </c>
      <c r="B63" s="5" t="str">
        <f aca="false">Checklist!D46</f>
        <v>Endpoint lifecycle: device age, warranty status, Windows 11 ineligible units, refresh plan and budget signalled to SDM/CAM</v>
      </c>
      <c r="C63" s="9"/>
      <c r="D63" s="9"/>
      <c r="E63" s="9"/>
      <c r="F63" s="9"/>
      <c r="G63" s="9"/>
      <c r="H63" s="9"/>
      <c r="I63" s="9"/>
      <c r="J63" s="9"/>
      <c r="K63" s="9"/>
      <c r="L63" s="9"/>
      <c r="M63" s="9"/>
      <c r="N63" s="9"/>
      <c r="O63" s="13" t="n">
        <f aca="false">SUM(C63:N63)</f>
        <v>0</v>
      </c>
      <c r="P63" s="13" t="str">
        <f aca="false">IF(O63&gt;=3,"Yes","")</f>
        <v/>
      </c>
      <c r="Q63" s="6"/>
    </row>
    <row r="64" customFormat="false" ht="25.5" hidden="false" customHeight="true" outlineLevel="0" collapsed="false">
      <c r="A64" s="4" t="str">
        <f aca="false">Checklist!A47</f>
        <v>SRV-01</v>
      </c>
      <c r="B64" s="5" t="str">
        <f aca="false">Checklist!D47</f>
        <v>Server inventory accurate across SNOW CIs, eFO, Orion and vCenter/emPOWER: counts match, IP/NAT IP present, role and owner documented</v>
      </c>
      <c r="C64" s="9"/>
      <c r="D64" s="9"/>
      <c r="E64" s="9"/>
      <c r="F64" s="9"/>
      <c r="G64" s="9"/>
      <c r="H64" s="9"/>
      <c r="I64" s="9"/>
      <c r="J64" s="9"/>
      <c r="K64" s="9"/>
      <c r="L64" s="9"/>
      <c r="M64" s="9"/>
      <c r="N64" s="9"/>
      <c r="O64" s="13" t="n">
        <f aca="false">SUM(C64:N64)</f>
        <v>0</v>
      </c>
      <c r="P64" s="13" t="str">
        <f aca="false">IF(O64&gt;=3,"Yes","")</f>
        <v/>
      </c>
      <c r="Q64" s="6"/>
    </row>
    <row r="65" customFormat="false" ht="25.5" hidden="false" customHeight="true" outlineLevel="0" collapsed="false">
      <c r="A65" s="4" t="str">
        <f aca="false">Checklist!A48</f>
        <v>SRV-02</v>
      </c>
      <c r="B65" s="5" t="str">
        <f aca="false">Checklist!D48</f>
        <v>Server OS support status: no Windows Server 2012/2012 R2 (ESU ends Oct 2026), Server 2016 plan (EoS 12 Jan 2027), Server 2022 mainstream ends 13 Oct 2026; Linux distros in support</v>
      </c>
      <c r="C65" s="9"/>
      <c r="D65" s="9"/>
      <c r="E65" s="9"/>
      <c r="F65" s="9"/>
      <c r="G65" s="9"/>
      <c r="H65" s="9"/>
      <c r="I65" s="9"/>
      <c r="J65" s="9"/>
      <c r="K65" s="9"/>
      <c r="L65" s="9"/>
      <c r="M65" s="9"/>
      <c r="N65" s="9"/>
      <c r="O65" s="13" t="n">
        <f aca="false">SUM(C65:N65)</f>
        <v>0</v>
      </c>
      <c r="P65" s="13" t="str">
        <f aca="false">IF(O65&gt;=3,"Yes","")</f>
        <v/>
      </c>
      <c r="Q65" s="6"/>
    </row>
    <row r="66" customFormat="false" ht="25.5" hidden="false" customHeight="true" outlineLevel="0" collapsed="false">
      <c r="A66" s="4" t="str">
        <f aca="false">Checklist!A49</f>
        <v>SRV-03</v>
      </c>
      <c r="B66" s="5" t="str">
        <f aca="false">Checklist!D49</f>
        <v>Server patch compliance: monthly cadence within 1 month (E8 ML1), internet-facing within 48 h for critical/exploited; maintenance windows agreed; failed/pending reboots</v>
      </c>
      <c r="C66" s="9"/>
      <c r="D66" s="9"/>
      <c r="E66" s="9"/>
      <c r="F66" s="9"/>
      <c r="G66" s="9"/>
      <c r="H66" s="9"/>
      <c r="I66" s="9"/>
      <c r="J66" s="9"/>
      <c r="K66" s="9"/>
      <c r="L66" s="9"/>
      <c r="M66" s="9"/>
      <c r="N66" s="9"/>
      <c r="O66" s="13" t="n">
        <f aca="false">SUM(C66:N66)</f>
        <v>0</v>
      </c>
      <c r="P66" s="13" t="str">
        <f aca="false">IF(O66&gt;=3,"Yes","")</f>
        <v/>
      </c>
      <c r="Q66" s="6"/>
    </row>
    <row r="67" customFormat="false" ht="25.5" hidden="false" customHeight="true" outlineLevel="0" collapsed="false">
      <c r="A67" s="4" t="str">
        <f aca="false">Checklist!A50</f>
        <v>SRV-04</v>
      </c>
      <c r="B67" s="5" t="str">
        <f aca="false">Checklist!D50</f>
        <v>Server hardening baseline: CIS/Microsoft baseline, SMBv1 off, TLS 1.0/1.1 off, RDP not internet-exposed + NLA, EDR on servers, unnecessary roles removed, application control on internet-facing servers (E8 ML2)</v>
      </c>
      <c r="C67" s="9"/>
      <c r="D67" s="9"/>
      <c r="E67" s="9"/>
      <c r="F67" s="9"/>
      <c r="G67" s="9"/>
      <c r="H67" s="9"/>
      <c r="I67" s="9"/>
      <c r="J67" s="9"/>
      <c r="K67" s="9"/>
      <c r="L67" s="9"/>
      <c r="M67" s="9"/>
      <c r="N67" s="9"/>
      <c r="O67" s="13" t="n">
        <f aca="false">SUM(C67:N67)</f>
        <v>0</v>
      </c>
      <c r="P67" s="13" t="str">
        <f aca="false">IF(O67&gt;=3,"Yes","")</f>
        <v/>
      </c>
      <c r="Q67" s="6"/>
    </row>
    <row r="68" customFormat="false" ht="25.5" hidden="false" customHeight="true" outlineLevel="0" collapsed="false">
      <c r="A68" s="4" t="str">
        <f aca="false">Checklist!A51</f>
        <v>SRV-05</v>
      </c>
      <c r="B68" s="5" t="str">
        <f aca="false">Checklist!D51</f>
        <v>Privileged access to servers: admin via jump host/RDM with CyberArk-sourced credentials, no direct RDP from user VLAN, tiered admin accounts, gMSA/managed service accounts</v>
      </c>
      <c r="C68" s="9"/>
      <c r="D68" s="9"/>
      <c r="E68" s="9"/>
      <c r="F68" s="9"/>
      <c r="G68" s="9"/>
      <c r="H68" s="9"/>
      <c r="I68" s="9"/>
      <c r="J68" s="9"/>
      <c r="K68" s="9"/>
      <c r="L68" s="9"/>
      <c r="M68" s="9"/>
      <c r="N68" s="9"/>
      <c r="O68" s="13" t="n">
        <f aca="false">SUM(C68:N68)</f>
        <v>0</v>
      </c>
      <c r="P68" s="13" t="str">
        <f aca="false">IF(O68&gt;=3,"Yes","")</f>
        <v/>
      </c>
      <c r="Q68" s="6"/>
    </row>
    <row r="69" customFormat="false" ht="25.5" hidden="false" customHeight="true" outlineLevel="0" collapsed="false">
      <c r="A69" s="4" t="str">
        <f aca="false">Checklist!A52</f>
        <v>SRV-06</v>
      </c>
      <c r="B69" s="5" t="str">
        <f aca="false">Checklist!D52</f>
        <v>Hypervisor platform health: vSphere/Hyper-V version in support (vSphere 7 end of general support was 2 Oct 2025), host firmware currency, HA/DRS configured, N+1 capacity, datastore free &gt;= 20%, stale snapshots, VMware licensing status post-Broadcom</v>
      </c>
      <c r="C69" s="9"/>
      <c r="D69" s="9"/>
      <c r="E69" s="9"/>
      <c r="F69" s="9"/>
      <c r="G69" s="9"/>
      <c r="H69" s="9"/>
      <c r="I69" s="9"/>
      <c r="J69" s="9"/>
      <c r="K69" s="9"/>
      <c r="L69" s="9"/>
      <c r="M69" s="9"/>
      <c r="N69" s="9"/>
      <c r="O69" s="13" t="n">
        <f aca="false">SUM(C69:N69)</f>
        <v>0</v>
      </c>
      <c r="P69" s="13" t="str">
        <f aca="false">IF(O69&gt;=3,"Yes","")</f>
        <v/>
      </c>
      <c r="Q69" s="6"/>
    </row>
    <row r="70" customFormat="false" ht="25.5" hidden="false" customHeight="true" outlineLevel="0" collapsed="false">
      <c r="A70" s="4" t="str">
        <f aca="false">Checklist!A53</f>
        <v>SRV-07</v>
      </c>
      <c r="B70" s="5" t="str">
        <f aca="false">Checklist!D53</f>
        <v>Capacity and performance: CPU/RAM/storage headroom and 12-month growth trend; over/under-provisioned VMs; storage latency alerts</v>
      </c>
      <c r="C70" s="9"/>
      <c r="D70" s="9"/>
      <c r="E70" s="9"/>
      <c r="F70" s="9"/>
      <c r="G70" s="9"/>
      <c r="H70" s="9"/>
      <c r="I70" s="9"/>
      <c r="J70" s="9"/>
      <c r="K70" s="9"/>
      <c r="L70" s="9"/>
      <c r="M70" s="9"/>
      <c r="N70" s="9"/>
      <c r="O70" s="13" t="n">
        <f aca="false">SUM(C70:N70)</f>
        <v>0</v>
      </c>
      <c r="P70" s="13" t="str">
        <f aca="false">IF(O70&gt;=3,"Yes","")</f>
        <v/>
      </c>
      <c r="Q70" s="6"/>
    </row>
    <row r="71" customFormat="false" ht="25.5" hidden="false" customHeight="true" outlineLevel="0" collapsed="false">
      <c r="A71" s="4" t="str">
        <f aca="false">Checklist!A54</f>
        <v>SRV-08</v>
      </c>
      <c r="B71" s="5" t="str">
        <f aca="false">Checklist!D54</f>
        <v>File services: share permissions (no Everyone/Authenticated Users modify), DFS-N/DFS-R health, quotas/FSRM, migration candidates to SharePoint/Azure Files</v>
      </c>
      <c r="C71" s="9"/>
      <c r="D71" s="9"/>
      <c r="E71" s="9"/>
      <c r="F71" s="9"/>
      <c r="G71" s="9"/>
      <c r="H71" s="9"/>
      <c r="I71" s="9"/>
      <c r="J71" s="9"/>
      <c r="K71" s="9"/>
      <c r="L71" s="9"/>
      <c r="M71" s="9"/>
      <c r="N71" s="9"/>
      <c r="O71" s="13" t="n">
        <f aca="false">SUM(C71:N71)</f>
        <v>0</v>
      </c>
      <c r="P71" s="13" t="str">
        <f aca="false">IF(O71&gt;=3,"Yes","")</f>
        <v/>
      </c>
      <c r="Q71" s="6"/>
    </row>
    <row r="72" customFormat="false" ht="25.5" hidden="false" customHeight="true" outlineLevel="0" collapsed="false">
      <c r="A72" s="4" t="str">
        <f aca="false">Checklist!A55</f>
        <v>SRV-09</v>
      </c>
      <c r="B72" s="5" t="str">
        <f aca="false">Checklist!D55</f>
        <v>Database and application servers: SQL versions in support (SQL 2014 and 2016 are out of support - 9 Jul 2024 and 14 Jul 2026; ESU only), backups (full + log) and recovery model, application owners and vendor support contracts documented</v>
      </c>
      <c r="C72" s="9"/>
      <c r="D72" s="9"/>
      <c r="E72" s="9"/>
      <c r="F72" s="9"/>
      <c r="G72" s="9"/>
      <c r="H72" s="9"/>
      <c r="I72" s="9"/>
      <c r="J72" s="9"/>
      <c r="K72" s="9"/>
      <c r="L72" s="9"/>
      <c r="M72" s="9"/>
      <c r="N72" s="9"/>
      <c r="O72" s="13" t="n">
        <f aca="false">SUM(C72:N72)</f>
        <v>0</v>
      </c>
      <c r="P72" s="13" t="str">
        <f aca="false">IF(O72&gt;=3,"Yes","")</f>
        <v/>
      </c>
      <c r="Q72" s="6"/>
    </row>
    <row r="73" customFormat="false" ht="25.5" hidden="false" customHeight="true" outlineLevel="0" collapsed="false">
      <c r="A73" s="4" t="str">
        <f aca="false">Checklist!A56</f>
        <v>SRV-10</v>
      </c>
      <c r="B73" s="5" t="str">
        <f aca="false">Checklist!D56</f>
        <v>Certificates and PKI: internal CA health (CRL/AIA publishing, CA OS support), certificate expiry inventory, public cert automation plan (public TLS max lifetime 200 days since 15 Mar 2026, 100 days from Mar 2027, 47 days from Mar 2029 - CA/B Forum SC-081)</v>
      </c>
      <c r="C73" s="9"/>
      <c r="D73" s="9"/>
      <c r="E73" s="9"/>
      <c r="F73" s="9"/>
      <c r="G73" s="9"/>
      <c r="H73" s="9"/>
      <c r="I73" s="9"/>
      <c r="J73" s="9"/>
      <c r="K73" s="9"/>
      <c r="L73" s="9"/>
      <c r="M73" s="9"/>
      <c r="N73" s="9"/>
      <c r="O73" s="13" t="n">
        <f aca="false">SUM(C73:N73)</f>
        <v>0</v>
      </c>
      <c r="P73" s="13" t="str">
        <f aca="false">IF(O73&gt;=3,"Yes","")</f>
        <v/>
      </c>
      <c r="Q73" s="6"/>
    </row>
    <row r="74" customFormat="false" ht="25.5" hidden="false" customHeight="true" outlineLevel="0" collapsed="false">
      <c r="A74" s="4" t="str">
        <f aca="false">Checklist!A57</f>
        <v>SRV-11</v>
      </c>
      <c r="B74" s="5" t="str">
        <f aca="false">Checklist!D57</f>
        <v>Core services: NTP hierarchy, DNS (scavenging, forwarders not ISP, split-brain documented), DHCP failover and scope utilisation</v>
      </c>
      <c r="C74" s="9"/>
      <c r="D74" s="9"/>
      <c r="E74" s="9"/>
      <c r="F74" s="9"/>
      <c r="G74" s="9"/>
      <c r="H74" s="9"/>
      <c r="I74" s="9"/>
      <c r="J74" s="9"/>
      <c r="K74" s="9"/>
      <c r="L74" s="9"/>
      <c r="M74" s="9"/>
      <c r="N74" s="9"/>
      <c r="O74" s="13" t="n">
        <f aca="false">SUM(C74:N74)</f>
        <v>0</v>
      </c>
      <c r="P74" s="13" t="str">
        <f aca="false">IF(O74&gt;=3,"Yes","")</f>
        <v/>
      </c>
      <c r="Q74" s="6"/>
    </row>
    <row r="75" customFormat="false" ht="25.5" hidden="false" customHeight="true" outlineLevel="0" collapsed="false">
      <c r="A75" s="4" t="str">
        <f aca="false">Checklist!A58</f>
        <v>SRV-12</v>
      </c>
      <c r="B75" s="5" t="str">
        <f aca="false">Checklist!D58</f>
        <v>Print, RDS/Citrix/RAS and legacy services: print server hardening (Point and Print), RDS/VDI farm health and CAL licensing, legacy runtimes (.NET, Java) on supported versions</v>
      </c>
      <c r="C75" s="9"/>
      <c r="D75" s="9"/>
      <c r="E75" s="9"/>
      <c r="F75" s="9"/>
      <c r="G75" s="9"/>
      <c r="H75" s="9"/>
      <c r="I75" s="9"/>
      <c r="J75" s="9"/>
      <c r="K75" s="9"/>
      <c r="L75" s="9"/>
      <c r="M75" s="9"/>
      <c r="N75" s="9"/>
      <c r="O75" s="13" t="n">
        <f aca="false">SUM(C75:N75)</f>
        <v>0</v>
      </c>
      <c r="P75" s="13" t="str">
        <f aca="false">IF(O75&gt;=3,"Yes","")</f>
        <v/>
      </c>
      <c r="Q75" s="6"/>
    </row>
    <row r="76" customFormat="false" ht="25.5" hidden="false" customHeight="true" outlineLevel="0" collapsed="false">
      <c r="A76" s="4" t="str">
        <f aca="false">Checklist!A59</f>
        <v>SRV-13</v>
      </c>
      <c r="B76" s="5" t="str">
        <f aca="false">Checklist!D59</f>
        <v>Linux estate: distro support status, automated patching (unattended-upgrades/dnf-automatic/Ansible), SSH hardening (key-only, no root), monitoring and backup agents, domain integration (SSSD) if applicable</v>
      </c>
      <c r="C76" s="9"/>
      <c r="D76" s="9"/>
      <c r="E76" s="9"/>
      <c r="F76" s="9"/>
      <c r="G76" s="9"/>
      <c r="H76" s="9"/>
      <c r="I76" s="9"/>
      <c r="J76" s="9"/>
      <c r="K76" s="9"/>
      <c r="L76" s="9"/>
      <c r="M76" s="9"/>
      <c r="N76" s="9"/>
      <c r="O76" s="13" t="n">
        <f aca="false">SUM(C76:N76)</f>
        <v>0</v>
      </c>
      <c r="P76" s="13" t="str">
        <f aca="false">IF(O76&gt;=3,"Yes","")</f>
        <v/>
      </c>
      <c r="Q76" s="6"/>
    </row>
    <row r="77" customFormat="false" ht="25.5" hidden="false" customHeight="true" outlineLevel="0" collapsed="false">
      <c r="A77" s="4" t="str">
        <f aca="false">Checklist!A60</f>
      </c>
      <c r="B77" s="5" t="str">
        <f aca="false">Checklist!D60</f>
      </c>
      <c r="C77" s="9"/>
      <c r="D77" s="9"/>
      <c r="E77" s="9"/>
      <c r="F77" s="9"/>
      <c r="G77" s="9"/>
      <c r="H77" s="9"/>
      <c r="I77" s="9"/>
      <c r="J77" s="9"/>
      <c r="K77" s="9"/>
      <c r="L77" s="9"/>
      <c r="M77" s="9"/>
      <c r="N77" s="9"/>
      <c r="O77" s="13" t="n">
        <f aca="false">SUM(C77:N77)</f>
        <v>0</v>
      </c>
      <c r="P77" s="13" t="str">
        <f aca="false">IF(O77&gt;=3,"Yes","")</f>
        <v/>
      </c>
      <c r="Q77" s="6"/>
    </row>
    <row r="78" customFormat="false" ht="25.5" hidden="false" customHeight="true" outlineLevel="0" collapsed="false">
      <c r="A78" s="4" t="str">
        <f aca="false">Checklist!A61</f>
      </c>
      <c r="B78" s="5" t="str">
        <f aca="false">Checklist!D61</f>
      </c>
      <c r="C78" s="9"/>
      <c r="D78" s="9"/>
      <c r="E78" s="9"/>
      <c r="F78" s="9"/>
      <c r="G78" s="9"/>
      <c r="H78" s="9"/>
      <c r="I78" s="9"/>
      <c r="J78" s="9"/>
      <c r="K78" s="9"/>
      <c r="L78" s="9"/>
      <c r="M78" s="9"/>
      <c r="N78" s="9"/>
      <c r="O78" s="13" t="n">
        <f aca="false">SUM(C78:N78)</f>
        <v>0</v>
      </c>
      <c r="P78" s="13" t="str">
        <f aca="false">IF(O78&gt;=3,"Yes","")</f>
        <v/>
      </c>
      <c r="Q78" s="6"/>
    </row>
    <row r="79" customFormat="false" ht="25.5" hidden="false" customHeight="true" outlineLevel="0" collapsed="false">
      <c r="A79" s="4" t="str">
        <f aca="false">Checklist!A62</f>
      </c>
      <c r="B79" s="5" t="str">
        <f aca="false">Checklist!D62</f>
      </c>
      <c r="C79" s="9"/>
      <c r="D79" s="9"/>
      <c r="E79" s="9"/>
      <c r="F79" s="9"/>
      <c r="G79" s="9"/>
      <c r="H79" s="9"/>
      <c r="I79" s="9"/>
      <c r="J79" s="9"/>
      <c r="K79" s="9"/>
      <c r="L79" s="9"/>
      <c r="M79" s="9"/>
      <c r="N79" s="9"/>
      <c r="O79" s="13" t="n">
        <f aca="false">SUM(C79:N79)</f>
        <v>0</v>
      </c>
      <c r="P79" s="13" t="str">
        <f aca="false">IF(O79&gt;=3,"Yes","")</f>
        <v/>
      </c>
      <c r="Q79" s="6"/>
    </row>
    <row r="80" customFormat="false" ht="25.5" hidden="false" customHeight="true" outlineLevel="0" collapsed="false">
      <c r="A80" s="4" t="str">
        <f aca="false">Checklist!A63</f>
      </c>
      <c r="B80" s="5" t="str">
        <f aca="false">Checklist!D63</f>
      </c>
      <c r="C80" s="9"/>
      <c r="D80" s="9"/>
      <c r="E80" s="9"/>
      <c r="F80" s="9"/>
      <c r="G80" s="9"/>
      <c r="H80" s="9"/>
      <c r="I80" s="9"/>
      <c r="J80" s="9"/>
      <c r="K80" s="9"/>
      <c r="L80" s="9"/>
      <c r="M80" s="9"/>
      <c r="N80" s="9"/>
      <c r="O80" s="13" t="n">
        <f aca="false">SUM(C80:N80)</f>
        <v>0</v>
      </c>
      <c r="P80" s="13" t="str">
        <f aca="false">IF(O80&gt;=3,"Yes","")</f>
        <v/>
      </c>
      <c r="Q80" s="6"/>
    </row>
    <row r="81" customFormat="false" ht="25.5" hidden="false" customHeight="true" outlineLevel="0" collapsed="false">
      <c r="A81" s="4" t="str">
        <f aca="false">Checklist!A64</f>
      </c>
      <c r="B81" s="5" t="str">
        <f aca="false">Checklist!D64</f>
      </c>
      <c r="C81" s="9"/>
      <c r="D81" s="9"/>
      <c r="E81" s="9"/>
      <c r="F81" s="9"/>
      <c r="G81" s="9"/>
      <c r="H81" s="9"/>
      <c r="I81" s="9"/>
      <c r="J81" s="9"/>
      <c r="K81" s="9"/>
      <c r="L81" s="9"/>
      <c r="M81" s="9"/>
      <c r="N81" s="9"/>
      <c r="O81" s="13" t="n">
        <f aca="false">SUM(C81:N81)</f>
        <v>0</v>
      </c>
      <c r="P81" s="13" t="str">
        <f aca="false">IF(O81&gt;=3,"Yes","")</f>
        <v/>
      </c>
      <c r="Q81" s="6"/>
    </row>
    <row r="82" customFormat="false" ht="25.5" hidden="false" customHeight="true" outlineLevel="0" collapsed="false">
      <c r="A82" s="4" t="str">
        <f aca="false">Checklist!A65</f>
      </c>
      <c r="B82" s="5" t="str">
        <f aca="false">Checklist!D65</f>
      </c>
      <c r="C82" s="9"/>
      <c r="D82" s="9"/>
      <c r="E82" s="9"/>
      <c r="F82" s="9"/>
      <c r="G82" s="9"/>
      <c r="H82" s="9"/>
      <c r="I82" s="9"/>
      <c r="J82" s="9"/>
      <c r="K82" s="9"/>
      <c r="L82" s="9"/>
      <c r="M82" s="9"/>
      <c r="N82" s="9"/>
      <c r="O82" s="13" t="n">
        <f aca="false">SUM(C82:N82)</f>
        <v>0</v>
      </c>
      <c r="P82" s="13" t="str">
        <f aca="false">IF(O82&gt;=3,"Yes","")</f>
        <v/>
      </c>
      <c r="Q82" s="6"/>
    </row>
    <row r="83" customFormat="false" ht="25.5" hidden="false" customHeight="true" outlineLevel="0" collapsed="false">
      <c r="A83" s="4" t="str">
        <f aca="false">Checklist!A66</f>
      </c>
      <c r="B83" s="5" t="str">
        <f aca="false">Checklist!D66</f>
      </c>
      <c r="C83" s="9"/>
      <c r="D83" s="9"/>
      <c r="E83" s="9"/>
      <c r="F83" s="9"/>
      <c r="G83" s="9"/>
      <c r="H83" s="9"/>
      <c r="I83" s="9"/>
      <c r="J83" s="9"/>
      <c r="K83" s="9"/>
      <c r="L83" s="9"/>
      <c r="M83" s="9"/>
      <c r="N83" s="9"/>
      <c r="O83" s="13" t="n">
        <f aca="false">SUM(C83:N83)</f>
        <v>0</v>
      </c>
      <c r="P83" s="13" t="str">
        <f aca="false">IF(O83&gt;=3,"Yes","")</f>
        <v/>
      </c>
      <c r="Q83" s="6"/>
    </row>
    <row r="84" customFormat="false" ht="25.5" hidden="false" customHeight="true" outlineLevel="0" collapsed="false">
      <c r="A84" s="4" t="str">
        <f aca="false">Checklist!A67</f>
      </c>
      <c r="B84" s="5" t="str">
        <f aca="false">Checklist!D67</f>
      </c>
      <c r="C84" s="9"/>
      <c r="D84" s="9"/>
      <c r="E84" s="9"/>
      <c r="F84" s="9"/>
      <c r="G84" s="9"/>
      <c r="H84" s="9"/>
      <c r="I84" s="9"/>
      <c r="J84" s="9"/>
      <c r="K84" s="9"/>
      <c r="L84" s="9"/>
      <c r="M84" s="9"/>
      <c r="N84" s="9"/>
      <c r="O84" s="13" t="n">
        <f aca="false">SUM(C84:N84)</f>
        <v>0</v>
      </c>
      <c r="P84" s="13" t="str">
        <f aca="false">IF(O84&gt;=3,"Yes","")</f>
        <v/>
      </c>
      <c r="Q84" s="6"/>
    </row>
    <row r="85" customFormat="false" ht="25.5" hidden="false" customHeight="true" outlineLevel="0" collapsed="false">
      <c r="A85" s="4" t="str">
        <f aca="false">Checklist!A68</f>
      </c>
      <c r="B85" s="5" t="str">
        <f aca="false">Checklist!D68</f>
      </c>
      <c r="C85" s="9"/>
      <c r="D85" s="9"/>
      <c r="E85" s="9"/>
      <c r="F85" s="9"/>
      <c r="G85" s="9"/>
      <c r="H85" s="9"/>
      <c r="I85" s="9"/>
      <c r="J85" s="9"/>
      <c r="K85" s="9"/>
      <c r="L85" s="9"/>
      <c r="M85" s="9"/>
      <c r="N85" s="9"/>
      <c r="O85" s="13" t="n">
        <f aca="false">SUM(C85:N85)</f>
        <v>0</v>
      </c>
      <c r="P85" s="13" t="str">
        <f aca="false">IF(O85&gt;=3,"Yes","")</f>
        <v/>
      </c>
      <c r="Q85" s="6"/>
    </row>
    <row r="86" customFormat="false" ht="25.5" hidden="false" customHeight="true" outlineLevel="0" collapsed="false">
      <c r="A86" s="4" t="str">
        <f aca="false">Checklist!A69</f>
      </c>
      <c r="B86" s="5" t="str">
        <f aca="false">Checklist!D69</f>
      </c>
      <c r="C86" s="9"/>
      <c r="D86" s="9"/>
      <c r="E86" s="9"/>
      <c r="F86" s="9"/>
      <c r="G86" s="9"/>
      <c r="H86" s="9"/>
      <c r="I86" s="9"/>
      <c r="J86" s="9"/>
      <c r="K86" s="9"/>
      <c r="L86" s="9"/>
      <c r="M86" s="9"/>
      <c r="N86" s="9"/>
      <c r="O86" s="13" t="n">
        <f aca="false">SUM(C86:N86)</f>
        <v>0</v>
      </c>
      <c r="P86" s="13" t="str">
        <f aca="false">IF(O86&gt;=3,"Yes","")</f>
        <v/>
      </c>
      <c r="Q86" s="6"/>
    </row>
    <row r="87" customFormat="false" ht="25.5" hidden="false" customHeight="true" outlineLevel="0" collapsed="false">
      <c r="A87" s="4" t="str">
        <f aca="false">Checklist!A70</f>
      </c>
      <c r="B87" s="5" t="str">
        <f aca="false">Checklist!D70</f>
      </c>
      <c r="C87" s="9"/>
      <c r="D87" s="9"/>
      <c r="E87" s="9"/>
      <c r="F87" s="9"/>
      <c r="G87" s="9"/>
      <c r="H87" s="9"/>
      <c r="I87" s="9"/>
      <c r="J87" s="9"/>
      <c r="K87" s="9"/>
      <c r="L87" s="9"/>
      <c r="M87" s="9"/>
      <c r="N87" s="9"/>
      <c r="O87" s="13" t="n">
        <f aca="false">SUM(C87:N87)</f>
        <v>0</v>
      </c>
      <c r="P87" s="13" t="str">
        <f aca="false">IF(O87&gt;=3,"Yes","")</f>
        <v/>
      </c>
      <c r="Q87" s="6"/>
    </row>
    <row r="88" customFormat="false" ht="25.5" hidden="false" customHeight="true" outlineLevel="0" collapsed="false">
      <c r="A88" s="4" t="str">
        <f aca="false">Checklist!A71</f>
      </c>
      <c r="B88" s="5" t="str">
        <f aca="false">Checklist!D71</f>
      </c>
      <c r="C88" s="9"/>
      <c r="D88" s="9"/>
      <c r="E88" s="9"/>
      <c r="F88" s="9"/>
      <c r="G88" s="9"/>
      <c r="H88" s="9"/>
      <c r="I88" s="9"/>
      <c r="J88" s="9"/>
      <c r="K88" s="9"/>
      <c r="L88" s="9"/>
      <c r="M88" s="9"/>
      <c r="N88" s="9"/>
      <c r="O88" s="13" t="n">
        <f aca="false">SUM(C88:N88)</f>
        <v>0</v>
      </c>
      <c r="P88" s="13" t="str">
        <f aca="false">IF(O88&gt;=3,"Yes","")</f>
        <v/>
      </c>
      <c r="Q88" s="6"/>
    </row>
    <row r="89" customFormat="false" ht="25.5" hidden="false" customHeight="true" outlineLevel="0" collapsed="false">
      <c r="A89" s="4" t="str">
        <f aca="false">Checklist!A72</f>
      </c>
      <c r="B89" s="5" t="str">
        <f aca="false">Checklist!D72</f>
      </c>
      <c r="C89" s="9"/>
      <c r="D89" s="9"/>
      <c r="E89" s="9"/>
      <c r="F89" s="9"/>
      <c r="G89" s="9"/>
      <c r="H89" s="9"/>
      <c r="I89" s="9"/>
      <c r="J89" s="9"/>
      <c r="K89" s="9"/>
      <c r="L89" s="9"/>
      <c r="M89" s="9"/>
      <c r="N89" s="9"/>
      <c r="O89" s="13" t="n">
        <f aca="false">SUM(C89:N89)</f>
        <v>0</v>
      </c>
      <c r="P89" s="13" t="str">
        <f aca="false">IF(O89&gt;=3,"Yes","")</f>
        <v/>
      </c>
      <c r="Q89" s="6"/>
    </row>
    <row r="90" customFormat="false" ht="25.5" hidden="false" customHeight="true" outlineLevel="0" collapsed="false">
      <c r="A90" s="4" t="str">
        <f aca="false">Checklist!A73</f>
      </c>
      <c r="B90" s="5" t="str">
        <f aca="false">Checklist!D73</f>
      </c>
      <c r="C90" s="9"/>
      <c r="D90" s="9"/>
      <c r="E90" s="9"/>
      <c r="F90" s="9"/>
      <c r="G90" s="9"/>
      <c r="H90" s="9"/>
      <c r="I90" s="9"/>
      <c r="J90" s="9"/>
      <c r="K90" s="9"/>
      <c r="L90" s="9"/>
      <c r="M90" s="9"/>
      <c r="N90" s="9"/>
      <c r="O90" s="13" t="n">
        <f aca="false">SUM(C90:N90)</f>
        <v>0</v>
      </c>
      <c r="P90" s="13" t="str">
        <f aca="false">IF(O90&gt;=3,"Yes","")</f>
        <v/>
      </c>
      <c r="Q90" s="6"/>
    </row>
    <row r="91" customFormat="false" ht="25.5" hidden="false" customHeight="true" outlineLevel="0" collapsed="false">
      <c r="A91" s="4" t="str">
        <f aca="false">Checklist!A74</f>
      </c>
      <c r="B91" s="5" t="str">
        <f aca="false">Checklist!D74</f>
      </c>
      <c r="C91" s="9"/>
      <c r="D91" s="9"/>
      <c r="E91" s="9"/>
      <c r="F91" s="9"/>
      <c r="G91" s="9"/>
      <c r="H91" s="9"/>
      <c r="I91" s="9"/>
      <c r="J91" s="9"/>
      <c r="K91" s="9"/>
      <c r="L91" s="9"/>
      <c r="M91" s="9"/>
      <c r="N91" s="9"/>
      <c r="O91" s="13" t="n">
        <f aca="false">SUM(C91:N91)</f>
        <v>0</v>
      </c>
      <c r="P91" s="13" t="str">
        <f aca="false">IF(O91&gt;=3,"Yes","")</f>
        <v/>
      </c>
      <c r="Q91" s="6"/>
    </row>
    <row r="92" customFormat="false" ht="25.5" hidden="false" customHeight="true" outlineLevel="0" collapsed="false">
      <c r="A92" s="4" t="str">
        <f aca="false">Checklist!A75</f>
      </c>
      <c r="B92" s="5" t="str">
        <f aca="false">Checklist!D75</f>
      </c>
      <c r="C92" s="9"/>
      <c r="D92" s="9"/>
      <c r="E92" s="9"/>
      <c r="F92" s="9"/>
      <c r="G92" s="9"/>
      <c r="H92" s="9"/>
      <c r="I92" s="9"/>
      <c r="J92" s="9"/>
      <c r="K92" s="9"/>
      <c r="L92" s="9"/>
      <c r="M92" s="9"/>
      <c r="N92" s="9"/>
      <c r="O92" s="13" t="n">
        <f aca="false">SUM(C92:N92)</f>
        <v>0</v>
      </c>
      <c r="P92" s="13" t="str">
        <f aca="false">IF(O92&gt;=3,"Yes","")</f>
        <v/>
      </c>
      <c r="Q92" s="6"/>
    </row>
    <row r="93" customFormat="false" ht="25.5" hidden="false" customHeight="true" outlineLevel="0" collapsed="false">
      <c r="A93" s="4" t="str">
        <f aca="false">Checklist!A76</f>
      </c>
      <c r="B93" s="5" t="str">
        <f aca="false">Checklist!D76</f>
      </c>
      <c r="C93" s="9"/>
      <c r="D93" s="9"/>
      <c r="E93" s="9"/>
      <c r="F93" s="9"/>
      <c r="G93" s="9"/>
      <c r="H93" s="9"/>
      <c r="I93" s="9"/>
      <c r="J93" s="9"/>
      <c r="K93" s="9"/>
      <c r="L93" s="9"/>
      <c r="M93" s="9"/>
      <c r="N93" s="9"/>
      <c r="O93" s="13" t="n">
        <f aca="false">SUM(C93:N93)</f>
        <v>0</v>
      </c>
      <c r="P93" s="13" t="str">
        <f aca="false">IF(O93&gt;=3,"Yes","")</f>
        <v/>
      </c>
      <c r="Q93" s="6"/>
    </row>
    <row r="94" customFormat="false" ht="25.5" hidden="false" customHeight="true" outlineLevel="0" collapsed="false">
      <c r="A94" s="4" t="str">
        <f aca="false">Checklist!A77</f>
      </c>
      <c r="B94" s="5" t="str">
        <f aca="false">Checklist!D77</f>
      </c>
      <c r="C94" s="9"/>
      <c r="D94" s="9"/>
      <c r="E94" s="9"/>
      <c r="F94" s="9"/>
      <c r="G94" s="9"/>
      <c r="H94" s="9"/>
      <c r="I94" s="9"/>
      <c r="J94" s="9"/>
      <c r="K94" s="9"/>
      <c r="L94" s="9"/>
      <c r="M94" s="9"/>
      <c r="N94" s="9"/>
      <c r="O94" s="13" t="n">
        <f aca="false">SUM(C94:N94)</f>
        <v>0</v>
      </c>
      <c r="P94" s="13" t="str">
        <f aca="false">IF(O94&gt;=3,"Yes","")</f>
        <v/>
      </c>
      <c r="Q94" s="6"/>
    </row>
    <row r="95" customFormat="false" ht="25.5" hidden="false" customHeight="true" outlineLevel="0" collapsed="false">
      <c r="A95" s="4" t="str">
        <f aca="false">Checklist!A78</f>
      </c>
      <c r="B95" s="5" t="str">
        <f aca="false">Checklist!D78</f>
      </c>
      <c r="C95" s="9"/>
      <c r="D95" s="9"/>
      <c r="E95" s="9"/>
      <c r="F95" s="9"/>
      <c r="G95" s="9"/>
      <c r="H95" s="9"/>
      <c r="I95" s="9"/>
      <c r="J95" s="9"/>
      <c r="K95" s="9"/>
      <c r="L95" s="9"/>
      <c r="M95" s="9"/>
      <c r="N95" s="9"/>
      <c r="O95" s="13" t="n">
        <f aca="false">SUM(C95:N95)</f>
        <v>0</v>
      </c>
      <c r="P95" s="13" t="str">
        <f aca="false">IF(O95&gt;=3,"Yes","")</f>
        <v/>
      </c>
      <c r="Q95" s="6"/>
    </row>
    <row r="96" customFormat="false" ht="25.5" hidden="false" customHeight="true" outlineLevel="0" collapsed="false">
      <c r="A96" s="4" t="str">
        <f aca="false">Checklist!A79</f>
      </c>
      <c r="B96" s="5" t="str">
        <f aca="false">Checklist!D79</f>
      </c>
      <c r="C96" s="9"/>
      <c r="D96" s="9"/>
      <c r="E96" s="9"/>
      <c r="F96" s="9"/>
      <c r="G96" s="9"/>
      <c r="H96" s="9"/>
      <c r="I96" s="9"/>
      <c r="J96" s="9"/>
      <c r="K96" s="9"/>
      <c r="L96" s="9"/>
      <c r="M96" s="9"/>
      <c r="N96" s="9"/>
      <c r="O96" s="13" t="n">
        <f aca="false">SUM(C96:N96)</f>
        <v>0</v>
      </c>
      <c r="P96" s="13" t="str">
        <f aca="false">IF(O96&gt;=3,"Yes","")</f>
        <v/>
      </c>
      <c r="Q96" s="6"/>
    </row>
    <row r="97" customFormat="false" ht="25.5" hidden="false" customHeight="true" outlineLevel="0" collapsed="false">
      <c r="A97" s="4" t="str">
        <f aca="false">Checklist!A80</f>
      </c>
      <c r="B97" s="5" t="str">
        <f aca="false">Checklist!D80</f>
      </c>
      <c r="C97" s="9"/>
      <c r="D97" s="9"/>
      <c r="E97" s="9"/>
      <c r="F97" s="9"/>
      <c r="G97" s="9"/>
      <c r="H97" s="9"/>
      <c r="I97" s="9"/>
      <c r="J97" s="9"/>
      <c r="K97" s="9"/>
      <c r="L97" s="9"/>
      <c r="M97" s="9"/>
      <c r="N97" s="9"/>
      <c r="O97" s="13" t="n">
        <f aca="false">SUM(C97:N97)</f>
        <v>0</v>
      </c>
      <c r="P97" s="13" t="str">
        <f aca="false">IF(O97&gt;=3,"Yes","")</f>
        <v/>
      </c>
      <c r="Q97" s="6"/>
    </row>
    <row r="98" customFormat="false" ht="25.5" hidden="false" customHeight="true" outlineLevel="0" collapsed="false">
      <c r="A98" s="4" t="str">
        <f aca="false">Checklist!A81</f>
      </c>
      <c r="B98" s="5" t="str">
        <f aca="false">Checklist!D81</f>
      </c>
      <c r="C98" s="9"/>
      <c r="D98" s="9"/>
      <c r="E98" s="9"/>
      <c r="F98" s="9"/>
      <c r="G98" s="9"/>
      <c r="H98" s="9"/>
      <c r="I98" s="9"/>
      <c r="J98" s="9"/>
      <c r="K98" s="9"/>
      <c r="L98" s="9"/>
      <c r="M98" s="9"/>
      <c r="N98" s="9"/>
      <c r="O98" s="13" t="n">
        <f aca="false">SUM(C98:N98)</f>
        <v>0</v>
      </c>
      <c r="P98" s="13" t="str">
        <f aca="false">IF(O98&gt;=3,"Yes","")</f>
        <v/>
      </c>
      <c r="Q98" s="6"/>
    </row>
    <row r="99" customFormat="false" ht="25.5" hidden="false" customHeight="true" outlineLevel="0" collapsed="false">
      <c r="A99" s="4" t="str">
        <f aca="false">Checklist!A82</f>
      </c>
      <c r="B99" s="5" t="str">
        <f aca="false">Checklist!D82</f>
      </c>
      <c r="C99" s="9"/>
      <c r="D99" s="9"/>
      <c r="E99" s="9"/>
      <c r="F99" s="9"/>
      <c r="G99" s="9"/>
      <c r="H99" s="9"/>
      <c r="I99" s="9"/>
      <c r="J99" s="9"/>
      <c r="K99" s="9"/>
      <c r="L99" s="9"/>
      <c r="M99" s="9"/>
      <c r="N99" s="9"/>
      <c r="O99" s="13" t="n">
        <f aca="false">SUM(C99:N99)</f>
        <v>0</v>
      </c>
      <c r="P99" s="13" t="str">
        <f aca="false">IF(O99&gt;=3,"Yes","")</f>
        <v/>
      </c>
      <c r="Q99" s="6"/>
    </row>
    <row r="100" customFormat="false" ht="25.5" hidden="false" customHeight="true" outlineLevel="0" collapsed="false">
      <c r="A100" s="4" t="str">
        <f aca="false">Checklist!A83</f>
      </c>
      <c r="B100" s="5" t="str">
        <f aca="false">Checklist!D83</f>
      </c>
      <c r="C100" s="9"/>
      <c r="D100" s="9"/>
      <c r="E100" s="9"/>
      <c r="F100" s="9"/>
      <c r="G100" s="9"/>
      <c r="H100" s="9"/>
      <c r="I100" s="9"/>
      <c r="J100" s="9"/>
      <c r="K100" s="9"/>
      <c r="L100" s="9"/>
      <c r="M100" s="9"/>
      <c r="N100" s="9"/>
      <c r="O100" s="13" t="n">
        <f aca="false">SUM(C100:N100)</f>
        <v>0</v>
      </c>
      <c r="P100" s="13" t="str">
        <f aca="false">IF(O100&gt;=3,"Yes","")</f>
        <v/>
      </c>
      <c r="Q100" s="6"/>
    </row>
    <row r="101" customFormat="false" ht="25.5" hidden="false" customHeight="true" outlineLevel="0" collapsed="false">
      <c r="A101" s="4" t="str">
        <f aca="false">Checklist!A84</f>
      </c>
      <c r="B101" s="5" t="str">
        <f aca="false">Checklist!D84</f>
      </c>
      <c r="C101" s="9"/>
      <c r="D101" s="9"/>
      <c r="E101" s="9"/>
      <c r="F101" s="9"/>
      <c r="G101" s="9"/>
      <c r="H101" s="9"/>
      <c r="I101" s="9"/>
      <c r="J101" s="9"/>
      <c r="K101" s="9"/>
      <c r="L101" s="9"/>
      <c r="M101" s="9"/>
      <c r="N101" s="9"/>
      <c r="O101" s="13" t="n">
        <f aca="false">SUM(C101:N101)</f>
        <v>0</v>
      </c>
      <c r="P101" s="13" t="str">
        <f aca="false">IF(O101&gt;=3,"Yes","")</f>
        <v/>
      </c>
      <c r="Q101" s="6"/>
    </row>
    <row r="102" customFormat="false" ht="25.5" hidden="false" customHeight="true" outlineLevel="0" collapsed="false">
      <c r="A102" s="4" t="str">
        <f aca="false">Checklist!A85</f>
      </c>
      <c r="B102" s="5" t="str">
        <f aca="false">Checklist!D85</f>
      </c>
      <c r="C102" s="9"/>
      <c r="D102" s="9"/>
      <c r="E102" s="9"/>
      <c r="F102" s="9"/>
      <c r="G102" s="9"/>
      <c r="H102" s="9"/>
      <c r="I102" s="9"/>
      <c r="J102" s="9"/>
      <c r="K102" s="9"/>
      <c r="L102" s="9"/>
      <c r="M102" s="9"/>
      <c r="N102" s="9"/>
      <c r="O102" s="13" t="n">
        <f aca="false">SUM(C102:N102)</f>
        <v>0</v>
      </c>
      <c r="P102" s="13" t="str">
        <f aca="false">IF(O102&gt;=3,"Yes","")</f>
        <v/>
      </c>
      <c r="Q102" s="6"/>
    </row>
    <row r="103" customFormat="false" ht="25.5" hidden="false" customHeight="true" outlineLevel="0" collapsed="false">
      <c r="A103" s="4" t="str">
        <f aca="false">Checklist!A86</f>
      </c>
      <c r="B103" s="5" t="str">
        <f aca="false">Checklist!D86</f>
      </c>
      <c r="C103" s="9"/>
      <c r="D103" s="9"/>
      <c r="E103" s="9"/>
      <c r="F103" s="9"/>
      <c r="G103" s="9"/>
      <c r="H103" s="9"/>
      <c r="I103" s="9"/>
      <c r="J103" s="9"/>
      <c r="K103" s="9"/>
      <c r="L103" s="9"/>
      <c r="M103" s="9"/>
      <c r="N103" s="9"/>
      <c r="O103" s="13" t="n">
        <f aca="false">SUM(C103:N103)</f>
        <v>0</v>
      </c>
      <c r="P103" s="13" t="str">
        <f aca="false">IF(O103&gt;=3,"Yes","")</f>
        <v/>
      </c>
      <c r="Q103" s="6"/>
    </row>
    <row r="104" customFormat="false" ht="25.5" hidden="false" customHeight="true" outlineLevel="0" collapsed="false">
      <c r="A104" s="4" t="str">
        <f aca="false">Checklist!A87</f>
      </c>
      <c r="B104" s="5" t="str">
        <f aca="false">Checklist!D87</f>
      </c>
      <c r="C104" s="9"/>
      <c r="D104" s="9"/>
      <c r="E104" s="9"/>
      <c r="F104" s="9"/>
      <c r="G104" s="9"/>
      <c r="H104" s="9"/>
      <c r="I104" s="9"/>
      <c r="J104" s="9"/>
      <c r="K104" s="9"/>
      <c r="L104" s="9"/>
      <c r="M104" s="9"/>
      <c r="N104" s="9"/>
      <c r="O104" s="13" t="n">
        <f aca="false">SUM(C104:N104)</f>
        <v>0</v>
      </c>
      <c r="P104" s="13" t="str">
        <f aca="false">IF(O104&gt;=3,"Yes","")</f>
        <v/>
      </c>
      <c r="Q104" s="6"/>
    </row>
    <row r="105" customFormat="false" ht="25.5" hidden="false" customHeight="true" outlineLevel="0" collapsed="false">
      <c r="A105" s="4" t="str">
        <f aca="false">Checklist!A88</f>
      </c>
      <c r="B105" s="5" t="str">
        <f aca="false">Checklist!D88</f>
      </c>
      <c r="C105" s="9"/>
      <c r="D105" s="9"/>
      <c r="E105" s="9"/>
      <c r="F105" s="9"/>
      <c r="G105" s="9"/>
      <c r="H105" s="9"/>
      <c r="I105" s="9"/>
      <c r="J105" s="9"/>
      <c r="K105" s="9"/>
      <c r="L105" s="9"/>
      <c r="M105" s="9"/>
      <c r="N105" s="9"/>
      <c r="O105" s="13" t="n">
        <f aca="false">SUM(C105:N105)</f>
        <v>0</v>
      </c>
      <c r="P105" s="13" t="str">
        <f aca="false">IF(O105&gt;=3,"Yes","")</f>
        <v/>
      </c>
      <c r="Q105" s="6"/>
    </row>
    <row r="106" customFormat="false" ht="25.5" hidden="false" customHeight="true" outlineLevel="0" collapsed="false">
      <c r="A106" s="4" t="str">
        <f aca="false">Checklist!A89</f>
      </c>
      <c r="B106" s="5" t="str">
        <f aca="false">Checklist!D89</f>
      </c>
      <c r="C106" s="9"/>
      <c r="D106" s="9"/>
      <c r="E106" s="9"/>
      <c r="F106" s="9"/>
      <c r="G106" s="9"/>
      <c r="H106" s="9"/>
      <c r="I106" s="9"/>
      <c r="J106" s="9"/>
      <c r="K106" s="9"/>
      <c r="L106" s="9"/>
      <c r="M106" s="9"/>
      <c r="N106" s="9"/>
      <c r="O106" s="13" t="n">
        <f aca="false">SUM(C106:N106)</f>
        <v>0</v>
      </c>
      <c r="P106" s="13" t="str">
        <f aca="false">IF(O106&gt;=3,"Yes","")</f>
        <v/>
      </c>
      <c r="Q106" s="6"/>
    </row>
    <row r="107" customFormat="false" ht="25.5" hidden="false" customHeight="true" outlineLevel="0" collapsed="false">
      <c r="A107" s="4" t="str">
        <f aca="false">Checklist!A90</f>
      </c>
      <c r="B107" s="5" t="str">
        <f aca="false">Checklist!D90</f>
      </c>
      <c r="C107" s="9"/>
      <c r="D107" s="9"/>
      <c r="E107" s="9"/>
      <c r="F107" s="9"/>
      <c r="G107" s="9"/>
      <c r="H107" s="9"/>
      <c r="I107" s="9"/>
      <c r="J107" s="9"/>
      <c r="K107" s="9"/>
      <c r="L107" s="9"/>
      <c r="M107" s="9"/>
      <c r="N107" s="9"/>
      <c r="O107" s="13" t="n">
        <f aca="false">SUM(C107:N107)</f>
        <v>0</v>
      </c>
      <c r="P107" s="13" t="str">
        <f aca="false">IF(O107&gt;=3,"Yes","")</f>
        <v/>
      </c>
      <c r="Q107" s="6"/>
    </row>
    <row r="108" customFormat="false" ht="25.5" hidden="false" customHeight="true" outlineLevel="0" collapsed="false">
      <c r="A108" s="4" t="str">
        <f aca="false">Checklist!A91</f>
      </c>
      <c r="B108" s="5" t="str">
        <f aca="false">Checklist!D91</f>
      </c>
      <c r="C108" s="9"/>
      <c r="D108" s="9"/>
      <c r="E108" s="9"/>
      <c r="F108" s="9"/>
      <c r="G108" s="9"/>
      <c r="H108" s="9"/>
      <c r="I108" s="9"/>
      <c r="J108" s="9"/>
      <c r="K108" s="9"/>
      <c r="L108" s="9"/>
      <c r="M108" s="9"/>
      <c r="N108" s="9"/>
      <c r="O108" s="13" t="n">
        <f aca="false">SUM(C108:N108)</f>
        <v>0</v>
      </c>
      <c r="P108" s="13" t="str">
        <f aca="false">IF(O108&gt;=3,"Yes","")</f>
        <v/>
      </c>
      <c r="Q108" s="6"/>
    </row>
    <row r="109" customFormat="false" ht="25.5" hidden="false" customHeight="true" outlineLevel="0" collapsed="false">
      <c r="A109" s="4" t="str">
        <f aca="false">Checklist!A92</f>
      </c>
      <c r="B109" s="5" t="str">
        <f aca="false">Checklist!D92</f>
      </c>
      <c r="C109" s="9"/>
      <c r="D109" s="9"/>
      <c r="E109" s="9"/>
      <c r="F109" s="9"/>
      <c r="G109" s="9"/>
      <c r="H109" s="9"/>
      <c r="I109" s="9"/>
      <c r="J109" s="9"/>
      <c r="K109" s="9"/>
      <c r="L109" s="9"/>
      <c r="M109" s="9"/>
      <c r="N109" s="9"/>
      <c r="O109" s="13" t="n">
        <f aca="false">SUM(C109:N109)</f>
        <v>0</v>
      </c>
      <c r="P109" s="13" t="str">
        <f aca="false">IF(O109&gt;=3,"Yes","")</f>
        <v/>
      </c>
      <c r="Q109" s="6"/>
    </row>
    <row r="110" customFormat="false" ht="25.5" hidden="false" customHeight="true" outlineLevel="0" collapsed="false">
      <c r="A110" s="4" t="str">
        <f aca="false">Checklist!A93</f>
      </c>
      <c r="B110" s="5" t="str">
        <f aca="false">Checklist!D93</f>
      </c>
      <c r="C110" s="9"/>
      <c r="D110" s="9"/>
      <c r="E110" s="9"/>
      <c r="F110" s="9"/>
      <c r="G110" s="9"/>
      <c r="H110" s="9"/>
      <c r="I110" s="9"/>
      <c r="J110" s="9"/>
      <c r="K110" s="9"/>
      <c r="L110" s="9"/>
      <c r="M110" s="9"/>
      <c r="N110" s="9"/>
      <c r="O110" s="13" t="n">
        <f aca="false">SUM(C110:N110)</f>
        <v>0</v>
      </c>
      <c r="P110" s="13" t="str">
        <f aca="false">IF(O110&gt;=3,"Yes","")</f>
        <v/>
      </c>
      <c r="Q110" s="6"/>
    </row>
    <row r="111" customFormat="false" ht="25.5" hidden="false" customHeight="true" outlineLevel="0" collapsed="false">
      <c r="A111" s="4" t="str">
        <f aca="false">Checklist!A94</f>
      </c>
      <c r="B111" s="5" t="str">
        <f aca="false">Checklist!D94</f>
      </c>
      <c r="C111" s="9"/>
      <c r="D111" s="9"/>
      <c r="E111" s="9"/>
      <c r="F111" s="9"/>
      <c r="G111" s="9"/>
      <c r="H111" s="9"/>
      <c r="I111" s="9"/>
      <c r="J111" s="9"/>
      <c r="K111" s="9"/>
      <c r="L111" s="9"/>
      <c r="M111" s="9"/>
      <c r="N111" s="9"/>
      <c r="O111" s="13" t="n">
        <f aca="false">SUM(C111:N111)</f>
        <v>0</v>
      </c>
      <c r="P111" s="13" t="str">
        <f aca="false">IF(O111&gt;=3,"Yes","")</f>
        <v/>
      </c>
      <c r="Q111" s="6"/>
    </row>
    <row r="112" customFormat="false" ht="25.5" hidden="false" customHeight="true" outlineLevel="0" collapsed="false">
      <c r="A112" s="4" t="str">
        <f aca="false">Checklist!A95</f>
      </c>
      <c r="B112" s="5" t="str">
        <f aca="false">Checklist!D95</f>
      </c>
      <c r="C112" s="9"/>
      <c r="D112" s="9"/>
      <c r="E112" s="9"/>
      <c r="F112" s="9"/>
      <c r="G112" s="9"/>
      <c r="H112" s="9"/>
      <c r="I112" s="9"/>
      <c r="J112" s="9"/>
      <c r="K112" s="9"/>
      <c r="L112" s="9"/>
      <c r="M112" s="9"/>
      <c r="N112" s="9"/>
      <c r="O112" s="13" t="n">
        <f aca="false">SUM(C112:N112)</f>
        <v>0</v>
      </c>
      <c r="P112" s="13" t="str">
        <f aca="false">IF(O112&gt;=3,"Yes","")</f>
        <v/>
      </c>
      <c r="Q112" s="6"/>
    </row>
    <row r="113" customFormat="false" ht="25.5" hidden="false" customHeight="true" outlineLevel="0" collapsed="false">
      <c r="A113" s="4" t="str">
        <f aca="false">Checklist!A96</f>
      </c>
      <c r="B113" s="5" t="str">
        <f aca="false">Checklist!D96</f>
      </c>
      <c r="C113" s="9"/>
      <c r="D113" s="9"/>
      <c r="E113" s="9"/>
      <c r="F113" s="9"/>
      <c r="G113" s="9"/>
      <c r="H113" s="9"/>
      <c r="I113" s="9"/>
      <c r="J113" s="9"/>
      <c r="K113" s="9"/>
      <c r="L113" s="9"/>
      <c r="M113" s="9"/>
      <c r="N113" s="9"/>
      <c r="O113" s="13" t="n">
        <f aca="false">SUM(C113:N113)</f>
        <v>0</v>
      </c>
      <c r="P113" s="13" t="str">
        <f aca="false">IF(O113&gt;=3,"Yes","")</f>
        <v/>
      </c>
      <c r="Q113" s="6"/>
    </row>
    <row r="114" customFormat="false" ht="25.5" hidden="false" customHeight="true" outlineLevel="0" collapsed="false">
      <c r="A114" s="4" t="str">
        <f aca="false">Checklist!A97</f>
      </c>
      <c r="B114" s="5" t="str">
        <f aca="false">Checklist!D97</f>
      </c>
      <c r="C114" s="9"/>
      <c r="D114" s="9"/>
      <c r="E114" s="9"/>
      <c r="F114" s="9"/>
      <c r="G114" s="9"/>
      <c r="H114" s="9"/>
      <c r="I114" s="9"/>
      <c r="J114" s="9"/>
      <c r="K114" s="9"/>
      <c r="L114" s="9"/>
      <c r="M114" s="9"/>
      <c r="N114" s="9"/>
      <c r="O114" s="13" t="n">
        <f aca="false">SUM(C114:N114)</f>
        <v>0</v>
      </c>
      <c r="P114" s="13" t="str">
        <f aca="false">IF(O114&gt;=3,"Yes","")</f>
        <v/>
      </c>
      <c r="Q114" s="6"/>
    </row>
    <row r="115" customFormat="false" ht="25.5" hidden="false" customHeight="true" outlineLevel="0" collapsed="false">
      <c r="A115" s="4" t="str">
        <f aca="false">Checklist!A98</f>
      </c>
      <c r="B115" s="5" t="str">
        <f aca="false">Checklist!D98</f>
      </c>
      <c r="C115" s="9"/>
      <c r="D115" s="9"/>
      <c r="E115" s="9"/>
      <c r="F115" s="9"/>
      <c r="G115" s="9"/>
      <c r="H115" s="9"/>
      <c r="I115" s="9"/>
      <c r="J115" s="9"/>
      <c r="K115" s="9"/>
      <c r="L115" s="9"/>
      <c r="M115" s="9"/>
      <c r="N115" s="9"/>
      <c r="O115" s="13" t="n">
        <f aca="false">SUM(C115:N115)</f>
        <v>0</v>
      </c>
      <c r="P115" s="13" t="str">
        <f aca="false">IF(O115&gt;=3,"Yes","")</f>
        <v/>
      </c>
      <c r="Q115" s="6"/>
    </row>
    <row r="116" customFormat="false" ht="25.5" hidden="false" customHeight="true" outlineLevel="0" collapsed="false">
      <c r="A116" s="4" t="str">
        <f aca="false">Checklist!A99</f>
      </c>
      <c r="B116" s="5" t="str">
        <f aca="false">Checklist!D99</f>
      </c>
      <c r="C116" s="9"/>
      <c r="D116" s="9"/>
      <c r="E116" s="9"/>
      <c r="F116" s="9"/>
      <c r="G116" s="9"/>
      <c r="H116" s="9"/>
      <c r="I116" s="9"/>
      <c r="J116" s="9"/>
      <c r="K116" s="9"/>
      <c r="L116" s="9"/>
      <c r="M116" s="9"/>
      <c r="N116" s="9"/>
      <c r="O116" s="13" t="n">
        <f aca="false">SUM(C116:N116)</f>
        <v>0</v>
      </c>
      <c r="P116" s="13" t="str">
        <f aca="false">IF(O116&gt;=3,"Yes","")</f>
        <v/>
      </c>
      <c r="Q116" s="6"/>
    </row>
    <row r="117" customFormat="false" ht="25.5" hidden="false" customHeight="true" outlineLevel="0" collapsed="false">
      <c r="A117" s="4" t="str">
        <f aca="false">Checklist!A100</f>
      </c>
      <c r="B117" s="5" t="str">
        <f aca="false">Checklist!D100</f>
      </c>
      <c r="C117" s="9"/>
      <c r="D117" s="9"/>
      <c r="E117" s="9"/>
      <c r="F117" s="9"/>
      <c r="G117" s="9"/>
      <c r="H117" s="9"/>
      <c r="I117" s="9"/>
      <c r="J117" s="9"/>
      <c r="K117" s="9"/>
      <c r="L117" s="9"/>
      <c r="M117" s="9"/>
      <c r="N117" s="9"/>
      <c r="O117" s="13" t="n">
        <f aca="false">SUM(C117:N117)</f>
        <v>0</v>
      </c>
      <c r="P117" s="13" t="str">
        <f aca="false">IF(O117&gt;=3,"Yes","")</f>
        <v/>
      </c>
      <c r="Q117" s="6"/>
    </row>
    <row r="118" customFormat="false" ht="25.5" hidden="false" customHeight="true" outlineLevel="0" collapsed="false">
      <c r="A118" s="4" t="str">
        <f aca="false">Checklist!A101</f>
      </c>
      <c r="B118" s="5" t="str">
        <f aca="false">Checklist!D101</f>
      </c>
      <c r="C118" s="9"/>
      <c r="D118" s="9"/>
      <c r="E118" s="9"/>
      <c r="F118" s="9"/>
      <c r="G118" s="9"/>
      <c r="H118" s="9"/>
      <c r="I118" s="9"/>
      <c r="J118" s="9"/>
      <c r="K118" s="9"/>
      <c r="L118" s="9"/>
      <c r="M118" s="9"/>
      <c r="N118" s="9"/>
      <c r="O118" s="13" t="n">
        <f aca="false">SUM(C118:N118)</f>
        <v>0</v>
      </c>
      <c r="P118" s="13" t="str">
        <f aca="false">IF(O118&gt;=3,"Yes","")</f>
        <v/>
      </c>
      <c r="Q118" s="6"/>
    </row>
    <row r="119" customFormat="false" ht="25.5" hidden="false" customHeight="true" outlineLevel="0" collapsed="false">
      <c r="A119" s="4" t="str">
        <f aca="false">Checklist!A102</f>
      </c>
      <c r="B119" s="5" t="str">
        <f aca="false">Checklist!D102</f>
      </c>
      <c r="C119" s="9"/>
      <c r="D119" s="9"/>
      <c r="E119" s="9"/>
      <c r="F119" s="9"/>
      <c r="G119" s="9"/>
      <c r="H119" s="9"/>
      <c r="I119" s="9"/>
      <c r="J119" s="9"/>
      <c r="K119" s="9"/>
      <c r="L119" s="9"/>
      <c r="M119" s="9"/>
      <c r="N119" s="9"/>
      <c r="O119" s="13" t="n">
        <f aca="false">SUM(C119:N119)</f>
        <v>0</v>
      </c>
      <c r="P119" s="13" t="str">
        <f aca="false">IF(O119&gt;=3,"Yes","")</f>
        <v/>
      </c>
      <c r="Q119" s="6"/>
    </row>
    <row r="120" customFormat="false" ht="25.5" hidden="false" customHeight="true" outlineLevel="0" collapsed="false">
      <c r="A120" s="4" t="str">
        <f aca="false">Checklist!A103</f>
      </c>
      <c r="B120" s="5" t="str">
        <f aca="false">Checklist!D103</f>
      </c>
      <c r="C120" s="9"/>
      <c r="D120" s="9"/>
      <c r="E120" s="9"/>
      <c r="F120" s="9"/>
      <c r="G120" s="9"/>
      <c r="H120" s="9"/>
      <c r="I120" s="9"/>
      <c r="J120" s="9"/>
      <c r="K120" s="9"/>
      <c r="L120" s="9"/>
      <c r="M120" s="9"/>
      <c r="N120" s="9"/>
      <c r="O120" s="13" t="n">
        <f aca="false">SUM(C120:N120)</f>
        <v>0</v>
      </c>
      <c r="P120" s="13" t="str">
        <f aca="false">IF(O120&gt;=3,"Yes","")</f>
        <v/>
      </c>
      <c r="Q120" s="6"/>
    </row>
    <row r="121" customFormat="false" ht="25.5" hidden="false" customHeight="true" outlineLevel="0" collapsed="false">
      <c r="A121" s="4" t="str">
        <f aca="false">Checklist!A104</f>
      </c>
      <c r="B121" s="5" t="str">
        <f aca="false">Checklist!D104</f>
      </c>
      <c r="C121" s="9"/>
      <c r="D121" s="9"/>
      <c r="E121" s="9"/>
      <c r="F121" s="9"/>
      <c r="G121" s="9"/>
      <c r="H121" s="9"/>
      <c r="I121" s="9"/>
      <c r="J121" s="9"/>
      <c r="K121" s="9"/>
      <c r="L121" s="9"/>
      <c r="M121" s="9"/>
      <c r="N121" s="9"/>
      <c r="O121" s="13" t="n">
        <f aca="false">SUM(C121:N121)</f>
        <v>0</v>
      </c>
      <c r="P121" s="13" t="str">
        <f aca="false">IF(O121&gt;=3,"Yes","")</f>
        <v/>
      </c>
      <c r="Q121" s="6"/>
    </row>
    <row r="122" customFormat="false" ht="25.5" hidden="false" customHeight="true" outlineLevel="0" collapsed="false">
      <c r="A122" s="4" t="str">
        <f aca="false">Checklist!A105</f>
      </c>
      <c r="B122" s="5" t="str">
        <f aca="false">Checklist!D105</f>
      </c>
      <c r="C122" s="9"/>
      <c r="D122" s="9"/>
      <c r="E122" s="9"/>
      <c r="F122" s="9"/>
      <c r="G122" s="9"/>
      <c r="H122" s="9"/>
      <c r="I122" s="9"/>
      <c r="J122" s="9"/>
      <c r="K122" s="9"/>
      <c r="L122" s="9"/>
      <c r="M122" s="9"/>
      <c r="N122" s="9"/>
      <c r="O122" s="13" t="n">
        <f aca="false">SUM(C122:N122)</f>
        <v>0</v>
      </c>
      <c r="P122" s="13" t="str">
        <f aca="false">IF(O122&gt;=3,"Yes","")</f>
        <v/>
      </c>
      <c r="Q122" s="6"/>
    </row>
    <row r="123" customFormat="false" ht="25.5" hidden="false" customHeight="true" outlineLevel="0" collapsed="false">
      <c r="A123" s="4" t="str">
        <f aca="false">Checklist!A106</f>
      </c>
      <c r="B123" s="5" t="str">
        <f aca="false">Checklist!D106</f>
      </c>
      <c r="C123" s="9"/>
      <c r="D123" s="9"/>
      <c r="E123" s="9"/>
      <c r="F123" s="9"/>
      <c r="G123" s="9"/>
      <c r="H123" s="9"/>
      <c r="I123" s="9"/>
      <c r="J123" s="9"/>
      <c r="K123" s="9"/>
      <c r="L123" s="9"/>
      <c r="M123" s="9"/>
      <c r="N123" s="9"/>
      <c r="O123" s="13" t="n">
        <f aca="false">SUM(C123:N123)</f>
        <v>0</v>
      </c>
      <c r="P123" s="13" t="str">
        <f aca="false">IF(O123&gt;=3,"Yes","")</f>
        <v/>
      </c>
      <c r="Q123" s="6"/>
    </row>
    <row r="124" customFormat="false" ht="25.5" hidden="false" customHeight="true" outlineLevel="0" collapsed="false">
      <c r="A124" s="4" t="str">
        <f aca="false">Checklist!A107</f>
      </c>
      <c r="B124" s="5" t="str">
        <f aca="false">Checklist!D107</f>
      </c>
      <c r="C124" s="9"/>
      <c r="D124" s="9"/>
      <c r="E124" s="9"/>
      <c r="F124" s="9"/>
      <c r="G124" s="9"/>
      <c r="H124" s="9"/>
      <c r="I124" s="9"/>
      <c r="J124" s="9"/>
      <c r="K124" s="9"/>
      <c r="L124" s="9"/>
      <c r="M124" s="9"/>
      <c r="N124" s="9"/>
      <c r="O124" s="13" t="n">
        <f aca="false">SUM(C124:N124)</f>
        <v>0</v>
      </c>
      <c r="P124" s="13" t="str">
        <f aca="false">IF(O124&gt;=3,"Yes","")</f>
        <v/>
      </c>
      <c r="Q124" s="6"/>
    </row>
    <row r="125" customFormat="false" ht="25.5" hidden="false" customHeight="true" outlineLevel="0" collapsed="false">
      <c r="A125" s="4" t="str">
        <f aca="false">Checklist!A108</f>
      </c>
      <c r="B125" s="5" t="str">
        <f aca="false">Checklist!D108</f>
      </c>
      <c r="C125" s="9"/>
      <c r="D125" s="9"/>
      <c r="E125" s="9"/>
      <c r="F125" s="9"/>
      <c r="G125" s="9"/>
      <c r="H125" s="9"/>
      <c r="I125" s="9"/>
      <c r="J125" s="9"/>
      <c r="K125" s="9"/>
      <c r="L125" s="9"/>
      <c r="M125" s="9"/>
      <c r="N125" s="9"/>
      <c r="O125" s="13" t="n">
        <f aca="false">SUM(C125:N125)</f>
        <v>0</v>
      </c>
      <c r="P125" s="13" t="str">
        <f aca="false">IF(O125&gt;=3,"Yes","")</f>
        <v/>
      </c>
      <c r="Q125" s="6"/>
    </row>
    <row r="126" customFormat="false" ht="25.5" hidden="false" customHeight="true" outlineLevel="0" collapsed="false">
      <c r="A126" s="4" t="str">
        <f aca="false">Checklist!A109</f>
      </c>
      <c r="B126" s="5" t="str">
        <f aca="false">Checklist!D109</f>
      </c>
      <c r="C126" s="9"/>
      <c r="D126" s="9"/>
      <c r="E126" s="9"/>
      <c r="F126" s="9"/>
      <c r="G126" s="9"/>
      <c r="H126" s="9"/>
      <c r="I126" s="9"/>
      <c r="J126" s="9"/>
      <c r="K126" s="9"/>
      <c r="L126" s="9"/>
      <c r="M126" s="9"/>
      <c r="N126" s="9"/>
      <c r="O126" s="13" t="n">
        <f aca="false">SUM(C126:N126)</f>
        <v>0</v>
      </c>
      <c r="P126" s="13" t="str">
        <f aca="false">IF(O126&gt;=3,"Yes","")</f>
        <v/>
      </c>
      <c r="Q126" s="6"/>
    </row>
    <row r="127" customFormat="false" ht="25.5" hidden="false" customHeight="true" outlineLevel="0" collapsed="false">
      <c r="A127" s="4" t="str">
        <f aca="false">Checklist!A110</f>
      </c>
      <c r="B127" s="5" t="str">
        <f aca="false">Checklist!D110</f>
      </c>
      <c r="C127" s="9"/>
      <c r="D127" s="9"/>
      <c r="E127" s="9"/>
      <c r="F127" s="9"/>
      <c r="G127" s="9"/>
      <c r="H127" s="9"/>
      <c r="I127" s="9"/>
      <c r="J127" s="9"/>
      <c r="K127" s="9"/>
      <c r="L127" s="9"/>
      <c r="M127" s="9"/>
      <c r="N127" s="9"/>
      <c r="O127" s="13" t="n">
        <f aca="false">SUM(C127:N127)</f>
        <v>0</v>
      </c>
      <c r="P127" s="13" t="str">
        <f aca="false">IF(O127&gt;=3,"Yes","")</f>
        <v/>
      </c>
      <c r="Q127" s="6"/>
    </row>
    <row r="128" customFormat="false" ht="25.5" hidden="false" customHeight="true" outlineLevel="0" collapsed="false">
      <c r="A128" s="4" t="str">
        <f aca="false">Checklist!A111</f>
      </c>
      <c r="B128" s="5" t="str">
        <f aca="false">Checklist!D111</f>
      </c>
      <c r="C128" s="9"/>
      <c r="D128" s="9"/>
      <c r="E128" s="9"/>
      <c r="F128" s="9"/>
      <c r="G128" s="9"/>
      <c r="H128" s="9"/>
      <c r="I128" s="9"/>
      <c r="J128" s="9"/>
      <c r="K128" s="9"/>
      <c r="L128" s="9"/>
      <c r="M128" s="9"/>
      <c r="N128" s="9"/>
      <c r="O128" s="13" t="n">
        <f aca="false">SUM(C128:N128)</f>
        <v>0</v>
      </c>
      <c r="P128" s="13" t="str">
        <f aca="false">IF(O128&gt;=3,"Yes","")</f>
        <v/>
      </c>
      <c r="Q128" s="6"/>
    </row>
    <row r="129" customFormat="false" ht="25.5" hidden="false" customHeight="true" outlineLevel="0" collapsed="false">
      <c r="A129" s="4" t="str">
        <f aca="false">Checklist!A112</f>
      </c>
      <c r="B129" s="5" t="str">
        <f aca="false">Checklist!D112</f>
      </c>
      <c r="C129" s="9"/>
      <c r="D129" s="9"/>
      <c r="E129" s="9"/>
      <c r="F129" s="9"/>
      <c r="G129" s="9"/>
      <c r="H129" s="9"/>
      <c r="I129" s="9"/>
      <c r="J129" s="9"/>
      <c r="K129" s="9"/>
      <c r="L129" s="9"/>
      <c r="M129" s="9"/>
      <c r="N129" s="9"/>
      <c r="O129" s="13" t="n">
        <f aca="false">SUM(C129:N129)</f>
        <v>0</v>
      </c>
      <c r="P129" s="13" t="str">
        <f aca="false">IF(O129&gt;=3,"Yes","")</f>
        <v/>
      </c>
      <c r="Q129" s="6"/>
    </row>
    <row r="130" customFormat="false" ht="25.5" hidden="false" customHeight="true" outlineLevel="0" collapsed="false">
      <c r="A130" s="4" t="str">
        <f aca="false">Checklist!A113</f>
      </c>
      <c r="B130" s="5" t="str">
        <f aca="false">Checklist!D113</f>
      </c>
      <c r="C130" s="9"/>
      <c r="D130" s="9"/>
      <c r="E130" s="9"/>
      <c r="F130" s="9"/>
      <c r="G130" s="9"/>
      <c r="H130" s="9"/>
      <c r="I130" s="9"/>
      <c r="J130" s="9"/>
      <c r="K130" s="9"/>
      <c r="L130" s="9"/>
      <c r="M130" s="9"/>
      <c r="N130" s="9"/>
      <c r="O130" s="13" t="n">
        <f aca="false">SUM(C130:N130)</f>
        <v>0</v>
      </c>
      <c r="P130" s="13" t="str">
        <f aca="false">IF(O130&gt;=3,"Yes","")</f>
        <v/>
      </c>
      <c r="Q130" s="6"/>
    </row>
    <row r="131" customFormat="false" ht="25.5" hidden="false" customHeight="true" outlineLevel="0" collapsed="false">
      <c r="A131" s="4" t="str">
        <f aca="false">Checklist!A114</f>
      </c>
      <c r="B131" s="5" t="str">
        <f aca="false">Checklist!D114</f>
      </c>
      <c r="C131" s="9"/>
      <c r="D131" s="9"/>
      <c r="E131" s="9"/>
      <c r="F131" s="9"/>
      <c r="G131" s="9"/>
      <c r="H131" s="9"/>
      <c r="I131" s="9"/>
      <c r="J131" s="9"/>
      <c r="K131" s="9"/>
      <c r="L131" s="9"/>
      <c r="M131" s="9"/>
      <c r="N131" s="9"/>
      <c r="O131" s="13" t="n">
        <f aca="false">SUM(C131:N131)</f>
        <v>0</v>
      </c>
      <c r="P131" s="13" t="str">
        <f aca="false">IF(O131&gt;=3,"Yes","")</f>
        <v/>
      </c>
      <c r="Q131" s="6"/>
    </row>
    <row r="132" customFormat="false" ht="25.5" hidden="false" customHeight="true" outlineLevel="0" collapsed="false">
      <c r="A132" s="4" t="str">
        <f aca="false">Checklist!A115</f>
      </c>
      <c r="B132" s="5" t="str">
        <f aca="false">Checklist!D115</f>
      </c>
      <c r="C132" s="9"/>
      <c r="D132" s="9"/>
      <c r="E132" s="9"/>
      <c r="F132" s="9"/>
      <c r="G132" s="9"/>
      <c r="H132" s="9"/>
      <c r="I132" s="9"/>
      <c r="J132" s="9"/>
      <c r="K132" s="9"/>
      <c r="L132" s="9"/>
      <c r="M132" s="9"/>
      <c r="N132" s="9"/>
      <c r="O132" s="13" t="n">
        <f aca="false">SUM(C132:N132)</f>
        <v>0</v>
      </c>
      <c r="P132" s="13" t="str">
        <f aca="false">IF(O132&gt;=3,"Yes","")</f>
        <v/>
      </c>
      <c r="Q132" s="6"/>
    </row>
    <row r="133" customFormat="false" ht="25.5" hidden="false" customHeight="true" outlineLevel="0" collapsed="false">
      <c r="A133" s="4" t="str">
        <f aca="false">Checklist!A116</f>
      </c>
      <c r="B133" s="5" t="str">
        <f aca="false">Checklist!D116</f>
      </c>
      <c r="C133" s="9"/>
      <c r="D133" s="9"/>
      <c r="E133" s="9"/>
      <c r="F133" s="9"/>
      <c r="G133" s="9"/>
      <c r="H133" s="9"/>
      <c r="I133" s="9"/>
      <c r="J133" s="9"/>
      <c r="K133" s="9"/>
      <c r="L133" s="9"/>
      <c r="M133" s="9"/>
      <c r="N133" s="9"/>
      <c r="O133" s="13" t="n">
        <f aca="false">SUM(C133:N133)</f>
        <v>0</v>
      </c>
      <c r="P133" s="13" t="str">
        <f aca="false">IF(O133&gt;=3,"Yes","")</f>
        <v/>
      </c>
      <c r="Q133" s="6"/>
    </row>
    <row r="134" customFormat="false" ht="25.5" hidden="false" customHeight="true" outlineLevel="0" collapsed="false">
      <c r="A134" s="4" t="str">
        <f aca="false">Checklist!A117</f>
      </c>
      <c r="B134" s="5" t="str">
        <f aca="false">Checklist!D117</f>
      </c>
      <c r="C134" s="9"/>
      <c r="D134" s="9"/>
      <c r="E134" s="9"/>
      <c r="F134" s="9"/>
      <c r="G134" s="9"/>
      <c r="H134" s="9"/>
      <c r="I134" s="9"/>
      <c r="J134" s="9"/>
      <c r="K134" s="9"/>
      <c r="L134" s="9"/>
      <c r="M134" s="9"/>
      <c r="N134" s="9"/>
      <c r="O134" s="13" t="n">
        <f aca="false">SUM(C134:N134)</f>
        <v>0</v>
      </c>
      <c r="P134" s="13" t="str">
        <f aca="false">IF(O134&gt;=3,"Yes","")</f>
        <v/>
      </c>
      <c r="Q134" s="6"/>
    </row>
    <row r="135" customFormat="false" ht="25.5" hidden="false" customHeight="true" outlineLevel="0" collapsed="false">
      <c r="A135" s="4" t="str">
        <f aca="false">Checklist!A118</f>
      </c>
      <c r="B135" s="5" t="str">
        <f aca="false">Checklist!D118</f>
      </c>
      <c r="C135" s="9"/>
      <c r="D135" s="9"/>
      <c r="E135" s="9"/>
      <c r="F135" s="9"/>
      <c r="G135" s="9"/>
      <c r="H135" s="9"/>
      <c r="I135" s="9"/>
      <c r="J135" s="9"/>
      <c r="K135" s="9"/>
      <c r="L135" s="9"/>
      <c r="M135" s="9"/>
      <c r="N135" s="9"/>
      <c r="O135" s="13" t="n">
        <f aca="false">SUM(C135:N135)</f>
        <v>0</v>
      </c>
      <c r="P135" s="13" t="str">
        <f aca="false">IF(O135&gt;=3,"Yes","")</f>
        <v/>
      </c>
      <c r="Q135" s="6"/>
    </row>
    <row r="136" customFormat="false" ht="25.5" hidden="false" customHeight="true" outlineLevel="0" collapsed="false">
      <c r="A136" s="4" t="str">
        <f aca="false">Checklist!A119</f>
      </c>
      <c r="B136" s="5" t="str">
        <f aca="false">Checklist!D119</f>
      </c>
      <c r="C136" s="9"/>
      <c r="D136" s="9"/>
      <c r="E136" s="9"/>
      <c r="F136" s="9"/>
      <c r="G136" s="9"/>
      <c r="H136" s="9"/>
      <c r="I136" s="9"/>
      <c r="J136" s="9"/>
      <c r="K136" s="9"/>
      <c r="L136" s="9"/>
      <c r="M136" s="9"/>
      <c r="N136" s="9"/>
      <c r="O136" s="13" t="n">
        <f aca="false">SUM(C136:N136)</f>
        <v>0</v>
      </c>
      <c r="P136" s="13" t="str">
        <f aca="false">IF(O136&gt;=3,"Yes","")</f>
        <v/>
      </c>
      <c r="Q136" s="6"/>
    </row>
    <row r="137" customFormat="false" ht="25.5" hidden="false" customHeight="true" outlineLevel="0" collapsed="false">
      <c r="A137" s="4" t="str">
        <f aca="false">Checklist!A120</f>
      </c>
      <c r="B137" s="5" t="str">
        <f aca="false">Checklist!D120</f>
      </c>
      <c r="C137" s="9"/>
      <c r="D137" s="9"/>
      <c r="E137" s="9"/>
      <c r="F137" s="9"/>
      <c r="G137" s="9"/>
      <c r="H137" s="9"/>
      <c r="I137" s="9"/>
      <c r="J137" s="9"/>
      <c r="K137" s="9"/>
      <c r="L137" s="9"/>
      <c r="M137" s="9"/>
      <c r="N137" s="9"/>
      <c r="O137" s="13" t="n">
        <f aca="false">SUM(C137:N137)</f>
        <v>0</v>
      </c>
      <c r="P137" s="13" t="str">
        <f aca="false">IF(O137&gt;=3,"Yes","")</f>
        <v/>
      </c>
      <c r="Q137" s="6"/>
    </row>
    <row r="138" customFormat="false" ht="25.5" hidden="false" customHeight="true" outlineLevel="0" collapsed="false">
      <c r="A138" s="4" t="str">
        <f aca="false">Checklist!A121</f>
      </c>
      <c r="B138" s="5" t="str">
        <f aca="false">Checklist!D121</f>
      </c>
      <c r="C138" s="9"/>
      <c r="D138" s="9"/>
      <c r="E138" s="9"/>
      <c r="F138" s="9"/>
      <c r="G138" s="9"/>
      <c r="H138" s="9"/>
      <c r="I138" s="9"/>
      <c r="J138" s="9"/>
      <c r="K138" s="9"/>
      <c r="L138" s="9"/>
      <c r="M138" s="9"/>
      <c r="N138" s="9"/>
      <c r="O138" s="13" t="n">
        <f aca="false">SUM(C138:N138)</f>
        <v>0</v>
      </c>
      <c r="P138" s="13" t="str">
        <f aca="false">IF(O138&gt;=3,"Yes","")</f>
        <v/>
      </c>
      <c r="Q138" s="6"/>
    </row>
    <row r="139" customFormat="false" ht="25.5" hidden="false" customHeight="true" outlineLevel="0" collapsed="false">
      <c r="A139" s="4" t="str">
        <f aca="false">Checklist!A122</f>
      </c>
      <c r="B139" s="5" t="str">
        <f aca="false">Checklist!D122</f>
      </c>
      <c r="C139" s="9"/>
      <c r="D139" s="9"/>
      <c r="E139" s="9"/>
      <c r="F139" s="9"/>
      <c r="G139" s="9"/>
      <c r="H139" s="9"/>
      <c r="I139" s="9"/>
      <c r="J139" s="9"/>
      <c r="K139" s="9"/>
      <c r="L139" s="9"/>
      <c r="M139" s="9"/>
      <c r="N139" s="9"/>
      <c r="O139" s="13" t="n">
        <f aca="false">SUM(C139:N139)</f>
        <v>0</v>
      </c>
      <c r="P139" s="13" t="str">
        <f aca="false">IF(O139&gt;=3,"Yes","")</f>
        <v/>
      </c>
      <c r="Q139" s="6"/>
    </row>
    <row r="140" customFormat="false" ht="25.5" hidden="false" customHeight="true" outlineLevel="0" collapsed="false">
      <c r="A140" s="4" t="str">
        <f aca="false">Checklist!A123</f>
      </c>
      <c r="B140" s="5" t="str">
        <f aca="false">Checklist!D123</f>
      </c>
      <c r="C140" s="9"/>
      <c r="D140" s="9"/>
      <c r="E140" s="9"/>
      <c r="F140" s="9"/>
      <c r="G140" s="9"/>
      <c r="H140" s="9"/>
      <c r="I140" s="9"/>
      <c r="J140" s="9"/>
      <c r="K140" s="9"/>
      <c r="L140" s="9"/>
      <c r="M140" s="9"/>
      <c r="N140" s="9"/>
      <c r="O140" s="13" t="n">
        <f aca="false">SUM(C140:N140)</f>
        <v>0</v>
      </c>
      <c r="P140" s="13" t="str">
        <f aca="false">IF(O140&gt;=3,"Yes","")</f>
        <v/>
      </c>
      <c r="Q140" s="6"/>
    </row>
    <row r="141" customFormat="false" ht="25.5" hidden="false" customHeight="true" outlineLevel="0" collapsed="false">
      <c r="A141" s="4" t="str">
        <f aca="false">Checklist!A124</f>
      </c>
      <c r="B141" s="5" t="str">
        <f aca="false">Checklist!D124</f>
      </c>
      <c r="C141" s="9"/>
      <c r="D141" s="9"/>
      <c r="E141" s="9"/>
      <c r="F141" s="9"/>
      <c r="G141" s="9"/>
      <c r="H141" s="9"/>
      <c r="I141" s="9"/>
      <c r="J141" s="9"/>
      <c r="K141" s="9"/>
      <c r="L141" s="9"/>
      <c r="M141" s="9"/>
      <c r="N141" s="9"/>
      <c r="O141" s="13" t="n">
        <f aca="false">SUM(C141:N141)</f>
        <v>0</v>
      </c>
      <c r="P141" s="13" t="str">
        <f aca="false">IF(O141&gt;=3,"Yes","")</f>
        <v/>
      </c>
      <c r="Q141" s="6"/>
    </row>
    <row r="142" customFormat="false" ht="25.5" hidden="false" customHeight="true" outlineLevel="0" collapsed="false">
      <c r="A142" s="4" t="str">
        <f aca="false">Checklist!A125</f>
      </c>
      <c r="B142" s="5" t="str">
        <f aca="false">Checklist!D125</f>
      </c>
      <c r="C142" s="9"/>
      <c r="D142" s="9"/>
      <c r="E142" s="9"/>
      <c r="F142" s="9"/>
      <c r="G142" s="9"/>
      <c r="H142" s="9"/>
      <c r="I142" s="9"/>
      <c r="J142" s="9"/>
      <c r="K142" s="9"/>
      <c r="L142" s="9"/>
      <c r="M142" s="9"/>
      <c r="N142" s="9"/>
      <c r="O142" s="13" t="n">
        <f aca="false">SUM(C142:N142)</f>
        <v>0</v>
      </c>
      <c r="P142" s="13" t="str">
        <f aca="false">IF(O142&gt;=3,"Yes","")</f>
        <v/>
      </c>
      <c r="Q142" s="6"/>
    </row>
    <row r="143" customFormat="false" ht="25.5" hidden="false" customHeight="true" outlineLevel="0" collapsed="false">
      <c r="A143" s="4" t="str">
        <f aca="false">Checklist!A126</f>
      </c>
      <c r="B143" s="5" t="str">
        <f aca="false">Checklist!D126</f>
      </c>
      <c r="C143" s="9"/>
      <c r="D143" s="9"/>
      <c r="E143" s="9"/>
      <c r="F143" s="9"/>
      <c r="G143" s="9"/>
      <c r="H143" s="9"/>
      <c r="I143" s="9"/>
      <c r="J143" s="9"/>
      <c r="K143" s="9"/>
      <c r="L143" s="9"/>
      <c r="M143" s="9"/>
      <c r="N143" s="9"/>
      <c r="O143" s="13" t="n">
        <f aca="false">SUM(C143:N143)</f>
        <v>0</v>
      </c>
      <c r="P143" s="13" t="str">
        <f aca="false">IF(O143&gt;=3,"Yes","")</f>
        <v/>
      </c>
      <c r="Q143" s="6"/>
    </row>
    <row r="144" customFormat="false" ht="25.5" hidden="false" customHeight="true" outlineLevel="0" collapsed="false">
      <c r="A144" s="4" t="str">
        <f aca="false">Checklist!A127</f>
      </c>
      <c r="B144" s="5" t="str">
        <f aca="false">Checklist!D127</f>
      </c>
      <c r="C144" s="9"/>
      <c r="D144" s="9"/>
      <c r="E144" s="9"/>
      <c r="F144" s="9"/>
      <c r="G144" s="9"/>
      <c r="H144" s="9"/>
      <c r="I144" s="9"/>
      <c r="J144" s="9"/>
      <c r="K144" s="9"/>
      <c r="L144" s="9"/>
      <c r="M144" s="9"/>
      <c r="N144" s="9"/>
      <c r="O144" s="13" t="n">
        <f aca="false">SUM(C144:N144)</f>
        <v>0</v>
      </c>
      <c r="P144" s="13" t="str">
        <f aca="false">IF(O144&gt;=3,"Yes","")</f>
        <v/>
      </c>
      <c r="Q144" s="6"/>
    </row>
    <row r="145" customFormat="false" ht="25.5" hidden="false" customHeight="true" outlineLevel="0" collapsed="false">
      <c r="A145" s="4" t="str">
        <f aca="false">Checklist!A128</f>
      </c>
      <c r="B145" s="5" t="str">
        <f aca="false">Checklist!D128</f>
      </c>
      <c r="C145" s="9"/>
      <c r="D145" s="9"/>
      <c r="E145" s="9"/>
      <c r="F145" s="9"/>
      <c r="G145" s="9"/>
      <c r="H145" s="9"/>
      <c r="I145" s="9"/>
      <c r="J145" s="9"/>
      <c r="K145" s="9"/>
      <c r="L145" s="9"/>
      <c r="M145" s="9"/>
      <c r="N145" s="9"/>
      <c r="O145" s="13" t="n">
        <f aca="false">SUM(C145:N145)</f>
        <v>0</v>
      </c>
      <c r="P145" s="13" t="str">
        <f aca="false">IF(O145&gt;=3,"Yes","")</f>
        <v/>
      </c>
      <c r="Q145" s="6"/>
    </row>
    <row r="146" customFormat="false" ht="25.5" hidden="false" customHeight="true" outlineLevel="0" collapsed="false">
      <c r="A146" s="4" t="str">
        <f aca="false">Checklist!A129</f>
      </c>
      <c r="B146" s="5" t="str">
        <f aca="false">Checklist!D129</f>
      </c>
      <c r="C146" s="9"/>
      <c r="D146" s="9"/>
      <c r="E146" s="9"/>
      <c r="F146" s="9"/>
      <c r="G146" s="9"/>
      <c r="H146" s="9"/>
      <c r="I146" s="9"/>
      <c r="J146" s="9"/>
      <c r="K146" s="9"/>
      <c r="L146" s="9"/>
      <c r="M146" s="9"/>
      <c r="N146" s="9"/>
      <c r="O146" s="13" t="n">
        <f aca="false">SUM(C146:N146)</f>
        <v>0</v>
      </c>
      <c r="P146" s="13" t="str">
        <f aca="false">IF(O146&gt;=3,"Yes","")</f>
        <v/>
      </c>
      <c r="Q146" s="6"/>
    </row>
  </sheetData>
  <autoFilter ref="A21:Q146"/>
  <mergeCells count="1">
    <mergeCell ref="A2:Q2"/>
  </mergeCells>
  <conditionalFormatting sqref="C6:N17">
    <cfRule type="colorScale" priority="2">
      <colorScale>
        <cfvo type="num" val="0"/>
        <cfvo type="num" val="0.65"/>
        <cfvo type="num" val="1"/>
        <color rgb="FFF8696B"/>
        <color rgb="FFFFEB84"/>
        <color rgb="FF63BE7B"/>
      </colorScale>
    </cfRule>
  </conditionalFormatting>
  <conditionalFormatting sqref="P22:P146">
    <cfRule type="expression" priority="3" aboveAverage="0" equalAverage="0" bottom="0" percent="0" rank="0" text="" dxfId="13">
      <formula>P22="Yes"</formula>
    </cfRule>
  </conditionalFormatting>
  <conditionalFormatting sqref="C22:N146">
    <cfRule type="cellIs" priority="4" operator="equal" aboveAverage="0" equalAverage="0" bottom="0" percent="0" rank="0" text="" dxfId="8">
      <formula>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0"/>
    <col collapsed="false" customWidth="true" hidden="false" outlineLevel="0" max="4" min="4" style="0" width="90"/>
    <col collapsed="false" customWidth="true" hidden="false" outlineLevel="0" max="5" min="5" style="0" width="50"/>
    <col collapsed="false" customWidth="true" hidden="false" outlineLevel="0" max="6" min="6" style="0" width="18"/>
    <col collapsed="false" customWidth="true" hidden="false" outlineLevel="0" max="7" min="7" style="0" width="14"/>
    <col collapsed="false" customWidth="true" hidden="false" outlineLevel="0" max="9" min="9" style="0" width="60"/>
  </cols>
  <sheetData>
    <row r="1" customFormat="false" ht="15" hidden="false" customHeight="false" outlineLevel="0" collapsed="false">
      <c r="A1" s="8" t="s">
        <v>64</v>
      </c>
      <c r="B1" s="8" t="s">
        <v>1038</v>
      </c>
      <c r="C1" s="8" t="s">
        <v>1064</v>
      </c>
      <c r="D1" s="8" t="s">
        <v>1065</v>
      </c>
      <c r="E1" s="8" t="s">
        <v>1066</v>
      </c>
      <c r="F1" s="8" t="s">
        <v>1067</v>
      </c>
      <c r="G1" s="8" t="s">
        <v>1068</v>
      </c>
      <c r="I1" s="2" t="s">
        <v>1069</v>
      </c>
    </row>
    <row r="2" customFormat="false" ht="15" hidden="false" customHeight="false" outlineLevel="0" collapsed="false">
      <c r="A2" s="6"/>
      <c r="B2" s="6"/>
      <c r="C2" s="6"/>
      <c r="D2" s="6"/>
      <c r="E2" s="6"/>
      <c r="F2" s="6"/>
      <c r="G2" s="6"/>
      <c r="I2" s="2" t="s">
        <v>1070</v>
      </c>
    </row>
    <row r="3" customFormat="false" ht="15" hidden="false" customHeight="false" outlineLevel="0" collapsed="false">
      <c r="A3" s="6"/>
      <c r="B3" s="6"/>
      <c r="C3" s="6"/>
      <c r="D3" s="6"/>
      <c r="E3" s="6"/>
      <c r="F3" s="6"/>
      <c r="G3" s="6"/>
      <c r="I3" s="2" t="s">
        <v>1071</v>
      </c>
    </row>
    <row r="4" customFormat="false" ht="15" hidden="false" customHeight="false" outlineLevel="0" collapsed="false">
      <c r="A4" s="6"/>
      <c r="B4" s="6"/>
      <c r="C4" s="6"/>
      <c r="D4" s="6"/>
      <c r="E4" s="6"/>
      <c r="F4" s="6"/>
      <c r="G4" s="6"/>
    </row>
    <row r="5" customFormat="false" ht="15" hidden="false" customHeight="false" outlineLevel="0" collapsed="false">
      <c r="A5" s="6"/>
      <c r="B5" s="6"/>
      <c r="C5" s="6"/>
      <c r="D5" s="6"/>
      <c r="E5" s="6"/>
      <c r="F5" s="6"/>
      <c r="G5" s="6"/>
    </row>
    <row r="6" customFormat="false" ht="15" hidden="false" customHeight="false" outlineLevel="0" collapsed="false">
      <c r="A6" s="6"/>
      <c r="B6" s="6"/>
      <c r="C6" s="6"/>
      <c r="D6" s="6"/>
      <c r="E6" s="6"/>
      <c r="F6" s="6"/>
      <c r="G6" s="6"/>
    </row>
    <row r="7" customFormat="false" ht="15" hidden="false" customHeight="false" outlineLevel="0" collapsed="false">
      <c r="A7" s="6"/>
      <c r="B7" s="6"/>
      <c r="C7" s="6"/>
      <c r="D7" s="6"/>
      <c r="E7" s="6"/>
      <c r="F7" s="6"/>
      <c r="G7" s="6"/>
    </row>
    <row r="8" customFormat="false" ht="15" hidden="false" customHeight="false" outlineLevel="0" collapsed="false">
      <c r="A8" s="6"/>
      <c r="B8" s="6"/>
      <c r="C8" s="6"/>
      <c r="D8" s="6"/>
      <c r="E8" s="6"/>
      <c r="F8" s="6"/>
      <c r="G8" s="6"/>
    </row>
    <row r="9" customFormat="false" ht="15" hidden="false" customHeight="false" outlineLevel="0" collapsed="false">
      <c r="A9" s="6"/>
      <c r="B9" s="6"/>
      <c r="C9" s="6"/>
      <c r="D9" s="6"/>
      <c r="E9" s="6"/>
      <c r="F9" s="6"/>
      <c r="G9" s="6"/>
    </row>
    <row r="10" customFormat="false" ht="15" hidden="false" customHeight="false" outlineLevel="0" collapsed="false">
      <c r="A10" s="6"/>
      <c r="B10" s="6"/>
      <c r="C10" s="6"/>
      <c r="D10" s="6"/>
      <c r="E10" s="6"/>
      <c r="F10" s="6"/>
      <c r="G10" s="6"/>
    </row>
    <row r="11" customFormat="false" ht="15" hidden="false" customHeight="false" outlineLevel="0" collapsed="false">
      <c r="A11" s="6"/>
      <c r="B11" s="6"/>
      <c r="C11" s="6"/>
      <c r="D11" s="6"/>
      <c r="E11" s="6"/>
      <c r="F11" s="6"/>
      <c r="G11" s="6"/>
    </row>
    <row r="12" customFormat="false" ht="15" hidden="false" customHeight="false" outlineLevel="0" collapsed="false">
      <c r="A12" s="6"/>
      <c r="B12" s="6"/>
      <c r="C12" s="6"/>
      <c r="D12" s="6"/>
      <c r="E12" s="6"/>
      <c r="F12" s="6"/>
      <c r="G12" s="6"/>
    </row>
    <row r="13" customFormat="false" ht="15" hidden="false" customHeight="false" outlineLevel="0" collapsed="false">
      <c r="A13" s="6"/>
      <c r="B13" s="6"/>
      <c r="C13" s="6"/>
      <c r="D13" s="6"/>
      <c r="E13" s="6"/>
      <c r="F13" s="6"/>
      <c r="G13" s="6"/>
    </row>
    <row r="14" customFormat="false" ht="15" hidden="false" customHeight="false" outlineLevel="0" collapsed="false">
      <c r="A14" s="6"/>
      <c r="B14" s="6"/>
      <c r="C14" s="6"/>
      <c r="D14" s="6"/>
      <c r="E14" s="6"/>
      <c r="F14" s="6"/>
      <c r="G14" s="6"/>
    </row>
    <row r="15" customFormat="false" ht="15" hidden="false" customHeight="false" outlineLevel="0" collapsed="false">
      <c r="A15" s="6"/>
      <c r="B15" s="6"/>
      <c r="C15" s="6"/>
      <c r="D15" s="6"/>
      <c r="E15" s="6"/>
      <c r="F15" s="6"/>
      <c r="G15" s="6"/>
    </row>
    <row r="16" customFormat="false" ht="15" hidden="false" customHeight="false" outlineLevel="0" collapsed="false">
      <c r="A16" s="6"/>
      <c r="B16" s="6"/>
      <c r="C16" s="6"/>
      <c r="D16" s="6"/>
      <c r="E16" s="6"/>
      <c r="F16" s="6"/>
      <c r="G16" s="6"/>
    </row>
    <row r="17" customFormat="false" ht="15" hidden="false" customHeight="false" outlineLevel="0" collapsed="false">
      <c r="A17" s="6"/>
      <c r="B17" s="6"/>
      <c r="C17" s="6"/>
      <c r="D17" s="6"/>
      <c r="E17" s="6"/>
      <c r="F17" s="6"/>
      <c r="G17" s="6"/>
    </row>
    <row r="18" customFormat="false" ht="15" hidden="false" customHeight="false" outlineLevel="0" collapsed="false">
      <c r="A18" s="6"/>
      <c r="B18" s="6"/>
      <c r="C18" s="6"/>
      <c r="D18" s="6"/>
      <c r="E18" s="6"/>
      <c r="F18" s="6"/>
      <c r="G18" s="6"/>
    </row>
    <row r="19" customFormat="false" ht="15" hidden="false" customHeight="false" outlineLevel="0" collapsed="false">
      <c r="A19" s="6"/>
      <c r="B19" s="6"/>
      <c r="C19" s="6"/>
      <c r="D19" s="6"/>
      <c r="E19" s="6"/>
      <c r="F19" s="6"/>
      <c r="G19" s="6"/>
    </row>
    <row r="20" customFormat="false" ht="15" hidden="false" customHeight="false" outlineLevel="0" collapsed="false">
      <c r="A20" s="6"/>
      <c r="B20" s="6"/>
      <c r="C20" s="6"/>
      <c r="D20" s="6"/>
      <c r="E20" s="6"/>
      <c r="F20" s="6"/>
      <c r="G20" s="6"/>
    </row>
    <row r="21" customFormat="false" ht="15" hidden="false" customHeight="false" outlineLevel="0" collapsed="false">
      <c r="A21" s="6"/>
      <c r="B21" s="6"/>
      <c r="C21" s="6"/>
      <c r="D21" s="6"/>
      <c r="E21" s="6"/>
      <c r="F21" s="6"/>
      <c r="G21" s="6"/>
    </row>
    <row r="22" customFormat="false" ht="15" hidden="false" customHeight="false" outlineLevel="0" collapsed="false">
      <c r="A22" s="6"/>
      <c r="B22" s="6"/>
      <c r="C22" s="6"/>
      <c r="D22" s="6"/>
      <c r="E22" s="6"/>
      <c r="F22" s="6"/>
      <c r="G22" s="6"/>
    </row>
    <row r="23" customFormat="false" ht="15" hidden="false" customHeight="false" outlineLevel="0" collapsed="false">
      <c r="A23" s="6"/>
      <c r="B23" s="6"/>
      <c r="C23" s="6"/>
      <c r="D23" s="6"/>
      <c r="E23" s="6"/>
      <c r="F23" s="6"/>
      <c r="G23" s="6"/>
    </row>
    <row r="24" customFormat="false" ht="15" hidden="false" customHeight="false" outlineLevel="0" collapsed="false">
      <c r="A24" s="6"/>
      <c r="B24" s="6"/>
      <c r="C24" s="6"/>
      <c r="D24" s="6"/>
      <c r="E24" s="6"/>
      <c r="F24" s="6"/>
      <c r="G24" s="6"/>
    </row>
    <row r="25" customFormat="false" ht="15" hidden="false" customHeight="false" outlineLevel="0" collapsed="false">
      <c r="A25" s="6"/>
      <c r="B25" s="6"/>
      <c r="C25" s="6"/>
      <c r="D25" s="6"/>
      <c r="E25" s="6"/>
      <c r="F25" s="6"/>
      <c r="G25" s="6"/>
    </row>
    <row r="26" customFormat="false" ht="15" hidden="false" customHeight="false" outlineLevel="0" collapsed="false">
      <c r="A26" s="6"/>
      <c r="B26" s="6"/>
      <c r="C26" s="6"/>
      <c r="D26" s="6"/>
      <c r="E26" s="6"/>
      <c r="F26" s="6"/>
      <c r="G26" s="6"/>
    </row>
    <row r="27" customFormat="false" ht="15" hidden="false" customHeight="false" outlineLevel="0" collapsed="false">
      <c r="A27" s="6"/>
      <c r="B27" s="6"/>
      <c r="C27" s="6"/>
      <c r="D27" s="6"/>
      <c r="E27" s="6"/>
      <c r="F27" s="6"/>
      <c r="G27" s="6"/>
    </row>
    <row r="28" customFormat="false" ht="15" hidden="false" customHeight="false" outlineLevel="0" collapsed="false">
      <c r="A28" s="6"/>
      <c r="B28" s="6"/>
      <c r="C28" s="6"/>
      <c r="D28" s="6"/>
      <c r="E28" s="6"/>
      <c r="F28" s="6"/>
      <c r="G28" s="6"/>
    </row>
    <row r="29" customFormat="false" ht="15" hidden="false" customHeight="false" outlineLevel="0" collapsed="false">
      <c r="A29" s="6"/>
      <c r="B29" s="6"/>
      <c r="C29" s="6"/>
      <c r="D29" s="6"/>
      <c r="E29" s="6"/>
      <c r="F29" s="6"/>
      <c r="G29" s="6"/>
    </row>
    <row r="30" customFormat="false" ht="15" hidden="false" customHeight="false" outlineLevel="0" collapsed="false">
      <c r="A30" s="6"/>
      <c r="B30" s="6"/>
      <c r="C30" s="6"/>
      <c r="D30" s="6"/>
      <c r="E30" s="6"/>
      <c r="F30" s="6"/>
      <c r="G30" s="6"/>
    </row>
    <row r="31" customFormat="false" ht="15" hidden="false" customHeight="false" outlineLevel="0" collapsed="false">
      <c r="A31" s="6"/>
      <c r="B31" s="6"/>
      <c r="C31" s="6"/>
      <c r="D31" s="6"/>
      <c r="E31" s="6"/>
      <c r="F31" s="6"/>
      <c r="G31" s="6"/>
    </row>
    <row r="32" customFormat="false" ht="15" hidden="false" customHeight="false" outlineLevel="0" collapsed="false">
      <c r="A32" s="6"/>
      <c r="B32" s="6"/>
      <c r="C32" s="6"/>
      <c r="D32" s="6"/>
      <c r="E32" s="6"/>
      <c r="F32" s="6"/>
      <c r="G32" s="6"/>
    </row>
    <row r="33" customFormat="false" ht="15" hidden="false" customHeight="false" outlineLevel="0" collapsed="false">
      <c r="A33" s="6"/>
      <c r="B33" s="6"/>
      <c r="C33" s="6"/>
      <c r="D33" s="6"/>
      <c r="E33" s="6"/>
      <c r="F33" s="6"/>
      <c r="G33" s="6"/>
    </row>
    <row r="34" customFormat="false" ht="15" hidden="false" customHeight="false" outlineLevel="0" collapsed="false">
      <c r="A34" s="6"/>
      <c r="B34" s="6"/>
      <c r="C34" s="6"/>
      <c r="D34" s="6"/>
      <c r="E34" s="6"/>
      <c r="F34" s="6"/>
      <c r="G34" s="6"/>
    </row>
    <row r="35" customFormat="false" ht="15" hidden="false" customHeight="false" outlineLevel="0" collapsed="false">
      <c r="A35" s="6"/>
      <c r="B35" s="6"/>
      <c r="C35" s="6"/>
      <c r="D35" s="6"/>
      <c r="E35" s="6"/>
      <c r="F35" s="6"/>
      <c r="G35" s="6"/>
    </row>
    <row r="36" customFormat="false" ht="15" hidden="false" customHeight="false" outlineLevel="0" collapsed="false">
      <c r="A36" s="6"/>
      <c r="B36" s="6"/>
      <c r="C36" s="6"/>
      <c r="D36" s="6"/>
      <c r="E36" s="6"/>
      <c r="F36" s="6"/>
      <c r="G36" s="6"/>
    </row>
    <row r="37" customFormat="false" ht="15" hidden="false" customHeight="false" outlineLevel="0" collapsed="false">
      <c r="A37" s="6"/>
      <c r="B37" s="6"/>
      <c r="C37" s="6"/>
      <c r="D37" s="6"/>
      <c r="E37" s="6"/>
      <c r="F37" s="6"/>
      <c r="G37" s="6"/>
    </row>
    <row r="38" customFormat="false" ht="15" hidden="false" customHeight="false" outlineLevel="0" collapsed="false">
      <c r="A38" s="6"/>
      <c r="B38" s="6"/>
      <c r="C38" s="6"/>
      <c r="D38" s="6"/>
      <c r="E38" s="6"/>
      <c r="F38" s="6"/>
      <c r="G38" s="6"/>
    </row>
    <row r="39" customFormat="false" ht="15" hidden="false" customHeight="false" outlineLevel="0" collapsed="false">
      <c r="A39" s="6"/>
      <c r="B39" s="6"/>
      <c r="C39" s="6"/>
      <c r="D39" s="6"/>
      <c r="E39" s="6"/>
      <c r="F39" s="6"/>
      <c r="G39" s="6"/>
    </row>
    <row r="40" customFormat="false" ht="15" hidden="false" customHeight="false" outlineLevel="0" collapsed="false">
      <c r="A40" s="6"/>
      <c r="B40" s="6"/>
      <c r="C40" s="6"/>
      <c r="D40" s="6"/>
      <c r="E40" s="6"/>
      <c r="F40" s="6"/>
      <c r="G40" s="6"/>
    </row>
    <row r="41" customFormat="false" ht="15" hidden="false" customHeight="false" outlineLevel="0" collapsed="false">
      <c r="A41" s="6"/>
      <c r="B41" s="6"/>
      <c r="C41" s="6"/>
      <c r="D41" s="6"/>
      <c r="E41" s="6"/>
      <c r="F41" s="6"/>
      <c r="G41" s="6"/>
    </row>
    <row r="42" customFormat="false" ht="15" hidden="false" customHeight="false" outlineLevel="0" collapsed="false">
      <c r="A42" s="6"/>
      <c r="B42" s="6"/>
      <c r="C42" s="6"/>
      <c r="D42" s="6"/>
      <c r="E42" s="6"/>
      <c r="F42" s="6"/>
      <c r="G42" s="6"/>
    </row>
    <row r="43" customFormat="false" ht="15" hidden="false" customHeight="false" outlineLevel="0" collapsed="false">
      <c r="A43" s="6"/>
      <c r="B43" s="6"/>
      <c r="C43" s="6"/>
      <c r="D43" s="6"/>
      <c r="E43" s="6"/>
      <c r="F43" s="6"/>
      <c r="G43" s="6"/>
    </row>
    <row r="44" customFormat="false" ht="15" hidden="false" customHeight="false" outlineLevel="0" collapsed="false">
      <c r="A44" s="6"/>
      <c r="B44" s="6"/>
      <c r="C44" s="6"/>
      <c r="D44" s="6"/>
      <c r="E44" s="6"/>
      <c r="F44" s="6"/>
      <c r="G44" s="6"/>
    </row>
    <row r="45" customFormat="false" ht="15" hidden="false" customHeight="false" outlineLevel="0" collapsed="false">
      <c r="A45" s="6"/>
      <c r="B45" s="6"/>
      <c r="C45" s="6"/>
      <c r="D45" s="6"/>
      <c r="E45" s="6"/>
      <c r="F45" s="6"/>
      <c r="G45" s="6"/>
    </row>
    <row r="46" customFormat="false" ht="15" hidden="false" customHeight="false" outlineLevel="0" collapsed="false">
      <c r="A46" s="6"/>
      <c r="B46" s="6"/>
      <c r="C46" s="6"/>
      <c r="D46" s="6"/>
      <c r="E46" s="6"/>
      <c r="F46" s="6"/>
      <c r="G46" s="6"/>
    </row>
    <row r="47" customFormat="false" ht="15" hidden="false" customHeight="false" outlineLevel="0" collapsed="false">
      <c r="A47" s="6"/>
      <c r="B47" s="6"/>
      <c r="C47" s="6"/>
      <c r="D47" s="6"/>
      <c r="E47" s="6"/>
      <c r="F47" s="6"/>
      <c r="G47" s="6"/>
    </row>
    <row r="48" customFormat="false" ht="15" hidden="false" customHeight="false" outlineLevel="0" collapsed="false">
      <c r="A48" s="6"/>
      <c r="B48" s="6"/>
      <c r="C48" s="6"/>
      <c r="D48" s="6"/>
      <c r="E48" s="6"/>
      <c r="F48" s="6"/>
      <c r="G48" s="6"/>
    </row>
    <row r="49" customFormat="false" ht="15" hidden="false" customHeight="false" outlineLevel="0" collapsed="false">
      <c r="A49" s="6"/>
      <c r="B49" s="6"/>
      <c r="C49" s="6"/>
      <c r="D49" s="6"/>
      <c r="E49" s="6"/>
      <c r="F49" s="6"/>
      <c r="G49" s="6"/>
    </row>
    <row r="50" customFormat="false" ht="15" hidden="false" customHeight="false" outlineLevel="0" collapsed="false">
      <c r="A50" s="6"/>
      <c r="B50" s="6"/>
      <c r="C50" s="6"/>
      <c r="D50" s="6"/>
      <c r="E50" s="6"/>
      <c r="F50" s="6"/>
      <c r="G50" s="6"/>
    </row>
    <row r="51" customFormat="false" ht="15" hidden="false" customHeight="false" outlineLevel="0" collapsed="false">
      <c r="A51" s="6"/>
      <c r="B51" s="6"/>
      <c r="C51" s="6"/>
      <c r="D51" s="6"/>
      <c r="E51" s="6"/>
      <c r="F51" s="6"/>
      <c r="G51" s="6"/>
    </row>
    <row r="52" customFormat="false" ht="15" hidden="false" customHeight="false" outlineLevel="0" collapsed="false">
      <c r="A52" s="6"/>
      <c r="B52" s="6"/>
      <c r="C52" s="6"/>
      <c r="D52" s="6"/>
      <c r="E52" s="6"/>
      <c r="F52" s="6"/>
      <c r="G52" s="6"/>
    </row>
    <row r="53" customFormat="false" ht="15" hidden="false" customHeight="false" outlineLevel="0" collapsed="false">
      <c r="A53" s="6"/>
      <c r="B53" s="6"/>
      <c r="C53" s="6"/>
      <c r="D53" s="6"/>
      <c r="E53" s="6"/>
      <c r="F53" s="6"/>
      <c r="G53" s="6"/>
    </row>
    <row r="54" customFormat="false" ht="15" hidden="false" customHeight="false" outlineLevel="0" collapsed="false">
      <c r="A54" s="6"/>
      <c r="B54" s="6"/>
      <c r="C54" s="6"/>
      <c r="D54" s="6"/>
      <c r="E54" s="6"/>
      <c r="F54" s="6"/>
      <c r="G54" s="6"/>
    </row>
    <row r="55" customFormat="false" ht="15" hidden="false" customHeight="false" outlineLevel="0" collapsed="false">
      <c r="A55" s="6"/>
      <c r="B55" s="6"/>
      <c r="C55" s="6"/>
      <c r="D55" s="6"/>
      <c r="E55" s="6"/>
      <c r="F55" s="6"/>
      <c r="G55" s="6"/>
    </row>
    <row r="56" customFormat="false" ht="15" hidden="false" customHeight="false" outlineLevel="0" collapsed="false">
      <c r="A56" s="6"/>
      <c r="B56" s="6"/>
      <c r="C56" s="6"/>
      <c r="D56" s="6"/>
      <c r="E56" s="6"/>
      <c r="F56" s="6"/>
      <c r="G56" s="6"/>
    </row>
    <row r="57" customFormat="false" ht="15" hidden="false" customHeight="false" outlineLevel="0" collapsed="false">
      <c r="A57" s="6"/>
      <c r="B57" s="6"/>
      <c r="C57" s="6"/>
      <c r="D57" s="6"/>
      <c r="E57" s="6"/>
      <c r="F57" s="6"/>
      <c r="G57" s="6"/>
    </row>
    <row r="58" customFormat="false" ht="15" hidden="false" customHeight="false" outlineLevel="0" collapsed="false">
      <c r="A58" s="6"/>
      <c r="B58" s="6"/>
      <c r="C58" s="6"/>
      <c r="D58" s="6"/>
      <c r="E58" s="6"/>
      <c r="F58" s="6"/>
      <c r="G58" s="6"/>
    </row>
    <row r="59" customFormat="false" ht="15" hidden="false" customHeight="false" outlineLevel="0" collapsed="false">
      <c r="A59" s="6"/>
      <c r="B59" s="6"/>
      <c r="C59" s="6"/>
      <c r="D59" s="6"/>
      <c r="E59" s="6"/>
      <c r="F59" s="6"/>
      <c r="G59" s="6"/>
    </row>
    <row r="60" customFormat="false" ht="15" hidden="false" customHeight="false" outlineLevel="0" collapsed="false">
      <c r="A60" s="6"/>
      <c r="B60" s="6"/>
      <c r="C60" s="6"/>
      <c r="D60" s="6"/>
      <c r="E60" s="6"/>
      <c r="F60" s="6"/>
      <c r="G60" s="6"/>
    </row>
    <row r="61" customFormat="false" ht="15" hidden="false" customHeight="false" outlineLevel="0" collapsed="false">
      <c r="A61" s="6"/>
      <c r="B61" s="6"/>
      <c r="C61" s="6"/>
      <c r="D61" s="6"/>
      <c r="E61" s="6"/>
      <c r="F61" s="6"/>
      <c r="G61" s="6"/>
    </row>
    <row r="62" customFormat="false" ht="15" hidden="false" customHeight="false" outlineLevel="0" collapsed="false">
      <c r="A62" s="6"/>
      <c r="B62" s="6"/>
      <c r="C62" s="6"/>
      <c r="D62" s="6"/>
      <c r="E62" s="6"/>
      <c r="F62" s="6"/>
      <c r="G62" s="6"/>
    </row>
    <row r="63" customFormat="false" ht="15" hidden="false" customHeight="false" outlineLevel="0" collapsed="false">
      <c r="A63" s="6"/>
      <c r="B63" s="6"/>
      <c r="C63" s="6"/>
      <c r="D63" s="6"/>
      <c r="E63" s="6"/>
      <c r="F63" s="6"/>
      <c r="G63" s="6"/>
    </row>
    <row r="64" customFormat="false" ht="15" hidden="false" customHeight="false" outlineLevel="0" collapsed="false">
      <c r="A64" s="6"/>
      <c r="B64" s="6"/>
      <c r="C64" s="6"/>
      <c r="D64" s="6"/>
      <c r="E64" s="6"/>
      <c r="F64" s="6"/>
      <c r="G64" s="6"/>
    </row>
    <row r="65" customFormat="false" ht="15" hidden="false" customHeight="false" outlineLevel="0" collapsed="false">
      <c r="A65" s="6"/>
      <c r="B65" s="6"/>
      <c r="C65" s="6"/>
      <c r="D65" s="6"/>
      <c r="E65" s="6"/>
      <c r="F65" s="6"/>
      <c r="G65" s="6"/>
    </row>
    <row r="66" customFormat="false" ht="15" hidden="false" customHeight="false" outlineLevel="0" collapsed="false">
      <c r="A66" s="6"/>
      <c r="B66" s="6"/>
      <c r="C66" s="6"/>
      <c r="D66" s="6"/>
      <c r="E66" s="6"/>
      <c r="F66" s="6"/>
      <c r="G66" s="6"/>
    </row>
    <row r="67" customFormat="false" ht="15" hidden="false" customHeight="false" outlineLevel="0" collapsed="false">
      <c r="A67" s="6"/>
      <c r="B67" s="6"/>
      <c r="C67" s="6"/>
      <c r="D67" s="6"/>
      <c r="E67" s="6"/>
      <c r="F67" s="6"/>
      <c r="G67" s="6"/>
    </row>
    <row r="68" customFormat="false" ht="15" hidden="false" customHeight="false" outlineLevel="0" collapsed="false">
      <c r="A68" s="6"/>
      <c r="B68" s="6"/>
      <c r="C68" s="6"/>
      <c r="D68" s="6"/>
      <c r="E68" s="6"/>
      <c r="F68" s="6"/>
      <c r="G68" s="6"/>
    </row>
    <row r="69" customFormat="false" ht="15" hidden="false" customHeight="false" outlineLevel="0" collapsed="false">
      <c r="A69" s="6"/>
      <c r="B69" s="6"/>
      <c r="C69" s="6"/>
      <c r="D69" s="6"/>
      <c r="E69" s="6"/>
      <c r="F69" s="6"/>
      <c r="G69" s="6"/>
    </row>
    <row r="70" customFormat="false" ht="15" hidden="false" customHeight="false" outlineLevel="0" collapsed="false">
      <c r="A70" s="6"/>
      <c r="B70" s="6"/>
      <c r="C70" s="6"/>
      <c r="D70" s="6"/>
      <c r="E70" s="6"/>
      <c r="F70" s="6"/>
      <c r="G70" s="6"/>
    </row>
    <row r="71" customFormat="false" ht="15" hidden="false" customHeight="false" outlineLevel="0" collapsed="false">
      <c r="A71" s="6"/>
      <c r="B71" s="6"/>
      <c r="C71" s="6"/>
      <c r="D71" s="6"/>
      <c r="E71" s="6"/>
      <c r="F71" s="6"/>
      <c r="G71" s="6"/>
    </row>
    <row r="72" customFormat="false" ht="15" hidden="false" customHeight="false" outlineLevel="0" collapsed="false">
      <c r="A72" s="6"/>
      <c r="B72" s="6"/>
      <c r="C72" s="6"/>
      <c r="D72" s="6"/>
      <c r="E72" s="6"/>
      <c r="F72" s="6"/>
      <c r="G72" s="6"/>
    </row>
    <row r="73" customFormat="false" ht="15" hidden="false" customHeight="false" outlineLevel="0" collapsed="false">
      <c r="A73" s="6"/>
      <c r="B73" s="6"/>
      <c r="C73" s="6"/>
      <c r="D73" s="6"/>
      <c r="E73" s="6"/>
      <c r="F73" s="6"/>
      <c r="G73" s="6"/>
    </row>
    <row r="74" customFormat="false" ht="15" hidden="false" customHeight="false" outlineLevel="0" collapsed="false">
      <c r="A74" s="6"/>
      <c r="B74" s="6"/>
      <c r="C74" s="6"/>
      <c r="D74" s="6"/>
      <c r="E74" s="6"/>
      <c r="F74" s="6"/>
      <c r="G74" s="6"/>
    </row>
    <row r="75" customFormat="false" ht="15" hidden="false" customHeight="false" outlineLevel="0" collapsed="false">
      <c r="A75" s="6"/>
      <c r="B75" s="6"/>
      <c r="C75" s="6"/>
      <c r="D75" s="6"/>
      <c r="E75" s="6"/>
      <c r="F75" s="6"/>
      <c r="G75" s="6"/>
    </row>
    <row r="76" customFormat="false" ht="15" hidden="false" customHeight="false" outlineLevel="0" collapsed="false">
      <c r="A76" s="6"/>
      <c r="B76" s="6"/>
      <c r="C76" s="6"/>
      <c r="D76" s="6"/>
      <c r="E76" s="6"/>
      <c r="F76" s="6"/>
      <c r="G76" s="6"/>
    </row>
    <row r="77" customFormat="false" ht="15" hidden="false" customHeight="false" outlineLevel="0" collapsed="false">
      <c r="A77" s="6"/>
      <c r="B77" s="6"/>
      <c r="C77" s="6"/>
      <c r="D77" s="6"/>
      <c r="E77" s="6"/>
      <c r="F77" s="6"/>
      <c r="G77" s="6"/>
    </row>
    <row r="78" customFormat="false" ht="15" hidden="false" customHeight="false" outlineLevel="0" collapsed="false">
      <c r="A78" s="6"/>
      <c r="B78" s="6"/>
      <c r="C78" s="6"/>
      <c r="D78" s="6"/>
      <c r="E78" s="6"/>
      <c r="F78" s="6"/>
      <c r="G78" s="6"/>
    </row>
    <row r="79" customFormat="false" ht="15" hidden="false" customHeight="false" outlineLevel="0" collapsed="false">
      <c r="A79" s="6"/>
      <c r="B79" s="6"/>
      <c r="C79" s="6"/>
      <c r="D79" s="6"/>
      <c r="E79" s="6"/>
      <c r="F79" s="6"/>
      <c r="G79" s="6"/>
    </row>
    <row r="80" customFormat="false" ht="15" hidden="false" customHeight="false" outlineLevel="0" collapsed="false">
      <c r="A80" s="6"/>
      <c r="B80" s="6"/>
      <c r="C80" s="6"/>
      <c r="D80" s="6"/>
      <c r="E80" s="6"/>
      <c r="F80" s="6"/>
      <c r="G80" s="6"/>
    </row>
    <row r="81" customFormat="false" ht="15" hidden="false" customHeight="false" outlineLevel="0" collapsed="false">
      <c r="A81" s="6"/>
      <c r="B81" s="6"/>
      <c r="C81" s="6"/>
      <c r="D81" s="6"/>
      <c r="E81" s="6"/>
      <c r="F81" s="6"/>
      <c r="G81" s="6"/>
    </row>
    <row r="82" customFormat="false" ht="15" hidden="false" customHeight="false" outlineLevel="0" collapsed="false">
      <c r="A82" s="6"/>
      <c r="B82" s="6"/>
      <c r="C82" s="6"/>
      <c r="D82" s="6"/>
      <c r="E82" s="6"/>
      <c r="F82" s="6"/>
      <c r="G82" s="6"/>
    </row>
    <row r="83" customFormat="false" ht="15" hidden="false" customHeight="false" outlineLevel="0" collapsed="false">
      <c r="A83" s="6"/>
      <c r="B83" s="6"/>
      <c r="C83" s="6"/>
      <c r="D83" s="6"/>
      <c r="E83" s="6"/>
      <c r="F83" s="6"/>
      <c r="G83" s="6"/>
    </row>
    <row r="84" customFormat="false" ht="15" hidden="false" customHeight="false" outlineLevel="0" collapsed="false">
      <c r="A84" s="6"/>
      <c r="B84" s="6"/>
      <c r="C84" s="6"/>
      <c r="D84" s="6"/>
      <c r="E84" s="6"/>
      <c r="F84" s="6"/>
      <c r="G84" s="6"/>
    </row>
    <row r="85" customFormat="false" ht="15" hidden="false" customHeight="false" outlineLevel="0" collapsed="false">
      <c r="A85" s="6"/>
      <c r="B85" s="6"/>
      <c r="C85" s="6"/>
      <c r="D85" s="6"/>
      <c r="E85" s="6"/>
      <c r="F85" s="6"/>
      <c r="G85" s="6"/>
    </row>
    <row r="86" customFormat="false" ht="15" hidden="false" customHeight="false" outlineLevel="0" collapsed="false">
      <c r="A86" s="6"/>
      <c r="B86" s="6"/>
      <c r="C86" s="6"/>
      <c r="D86" s="6"/>
      <c r="E86" s="6"/>
      <c r="F86" s="6"/>
      <c r="G86" s="6"/>
    </row>
    <row r="87" customFormat="false" ht="15" hidden="false" customHeight="false" outlineLevel="0" collapsed="false">
      <c r="A87" s="6"/>
      <c r="B87" s="6"/>
      <c r="C87" s="6"/>
      <c r="D87" s="6"/>
      <c r="E87" s="6"/>
      <c r="F87" s="6"/>
      <c r="G87" s="6"/>
    </row>
    <row r="88" customFormat="false" ht="15" hidden="false" customHeight="false" outlineLevel="0" collapsed="false">
      <c r="A88" s="6"/>
      <c r="B88" s="6"/>
      <c r="C88" s="6"/>
      <c r="D88" s="6"/>
      <c r="E88" s="6"/>
      <c r="F88" s="6"/>
      <c r="G88" s="6"/>
    </row>
    <row r="89" customFormat="false" ht="15" hidden="false" customHeight="false" outlineLevel="0" collapsed="false">
      <c r="A89" s="6"/>
      <c r="B89" s="6"/>
      <c r="C89" s="6"/>
      <c r="D89" s="6"/>
      <c r="E89" s="6"/>
      <c r="F89" s="6"/>
      <c r="G89" s="6"/>
    </row>
    <row r="90" customFormat="false" ht="15" hidden="false" customHeight="false" outlineLevel="0" collapsed="false">
      <c r="A90" s="6"/>
      <c r="B90" s="6"/>
      <c r="C90" s="6"/>
      <c r="D90" s="6"/>
      <c r="E90" s="6"/>
      <c r="F90" s="6"/>
      <c r="G90" s="6"/>
    </row>
    <row r="91" customFormat="false" ht="15" hidden="false" customHeight="false" outlineLevel="0" collapsed="false">
      <c r="A91" s="6"/>
      <c r="B91" s="6"/>
      <c r="C91" s="6"/>
      <c r="D91" s="6"/>
      <c r="E91" s="6"/>
      <c r="F91" s="6"/>
      <c r="G91" s="6"/>
    </row>
    <row r="92" customFormat="false" ht="15" hidden="false" customHeight="false" outlineLevel="0" collapsed="false">
      <c r="A92" s="6"/>
      <c r="B92" s="6"/>
      <c r="C92" s="6"/>
      <c r="D92" s="6"/>
      <c r="E92" s="6"/>
      <c r="F92" s="6"/>
      <c r="G92" s="6"/>
    </row>
    <row r="93" customFormat="false" ht="15" hidden="false" customHeight="false" outlineLevel="0" collapsed="false">
      <c r="A93" s="6"/>
      <c r="B93" s="6"/>
      <c r="C93" s="6"/>
      <c r="D93" s="6"/>
      <c r="E93" s="6"/>
      <c r="F93" s="6"/>
      <c r="G93" s="6"/>
    </row>
    <row r="94" customFormat="false" ht="15" hidden="false" customHeight="false" outlineLevel="0" collapsed="false">
      <c r="A94" s="6"/>
      <c r="B94" s="6"/>
      <c r="C94" s="6"/>
      <c r="D94" s="6"/>
      <c r="E94" s="6"/>
      <c r="F94" s="6"/>
      <c r="G94" s="6"/>
    </row>
    <row r="95" customFormat="false" ht="15" hidden="false" customHeight="false" outlineLevel="0" collapsed="false">
      <c r="A95" s="6"/>
      <c r="B95" s="6"/>
      <c r="C95" s="6"/>
      <c r="D95" s="6"/>
      <c r="E95" s="6"/>
      <c r="F95" s="6"/>
      <c r="G95" s="6"/>
    </row>
    <row r="96" customFormat="false" ht="15" hidden="false" customHeight="false" outlineLevel="0" collapsed="false">
      <c r="A96" s="6"/>
      <c r="B96" s="6"/>
      <c r="C96" s="6"/>
      <c r="D96" s="6"/>
      <c r="E96" s="6"/>
      <c r="F96" s="6"/>
      <c r="G96" s="6"/>
    </row>
    <row r="97" customFormat="false" ht="15" hidden="false" customHeight="false" outlineLevel="0" collapsed="false">
      <c r="A97" s="6"/>
      <c r="B97" s="6"/>
      <c r="C97" s="6"/>
      <c r="D97" s="6"/>
      <c r="E97" s="6"/>
      <c r="F97" s="6"/>
      <c r="G97" s="6"/>
    </row>
    <row r="98" customFormat="false" ht="15" hidden="false" customHeight="false" outlineLevel="0" collapsed="false">
      <c r="A98" s="6"/>
      <c r="B98" s="6"/>
      <c r="C98" s="6"/>
      <c r="D98" s="6"/>
      <c r="E98" s="6"/>
      <c r="F98" s="6"/>
      <c r="G98" s="6"/>
    </row>
    <row r="99" customFormat="false" ht="15" hidden="false" customHeight="false" outlineLevel="0" collapsed="false">
      <c r="A99" s="6"/>
      <c r="B99" s="6"/>
      <c r="C99" s="6"/>
      <c r="D99" s="6"/>
      <c r="E99" s="6"/>
      <c r="F99" s="6"/>
      <c r="G99" s="6"/>
    </row>
    <row r="100" customFormat="false" ht="15" hidden="false" customHeight="false" outlineLevel="0" collapsed="false">
      <c r="A100" s="6"/>
      <c r="B100" s="6"/>
      <c r="C100" s="6"/>
      <c r="D100" s="6"/>
      <c r="E100" s="6"/>
      <c r="F100" s="6"/>
      <c r="G100" s="6"/>
    </row>
    <row r="101" customFormat="false" ht="15" hidden="false" customHeight="false" outlineLevel="0" collapsed="false">
      <c r="A101" s="6"/>
      <c r="B101" s="6"/>
      <c r="C101" s="6"/>
      <c r="D101" s="6"/>
      <c r="E101" s="6"/>
      <c r="F101" s="6"/>
      <c r="G101" s="6"/>
    </row>
    <row r="102" customFormat="false" ht="15" hidden="false" customHeight="false" outlineLevel="0" collapsed="false">
      <c r="A102" s="6"/>
      <c r="B102" s="6"/>
      <c r="C102" s="6"/>
      <c r="D102" s="6"/>
      <c r="E102" s="6"/>
      <c r="F102" s="6"/>
      <c r="G102" s="6"/>
    </row>
    <row r="103" customFormat="false" ht="15" hidden="false" customHeight="false" outlineLevel="0" collapsed="false">
      <c r="A103" s="6"/>
      <c r="B103" s="6"/>
      <c r="C103" s="6"/>
      <c r="D103" s="6"/>
      <c r="E103" s="6"/>
      <c r="F103" s="6"/>
      <c r="G103" s="6"/>
    </row>
    <row r="104" customFormat="false" ht="15" hidden="false" customHeight="false" outlineLevel="0" collapsed="false">
      <c r="A104" s="6"/>
      <c r="B104" s="6"/>
      <c r="C104" s="6"/>
      <c r="D104" s="6"/>
      <c r="E104" s="6"/>
      <c r="F104" s="6"/>
      <c r="G104" s="6"/>
    </row>
    <row r="105" customFormat="false" ht="15" hidden="false" customHeight="false" outlineLevel="0" collapsed="false">
      <c r="A105" s="6"/>
      <c r="B105" s="6"/>
      <c r="C105" s="6"/>
      <c r="D105" s="6"/>
      <c r="E105" s="6"/>
      <c r="F105" s="6"/>
      <c r="G105" s="6"/>
    </row>
    <row r="106" customFormat="false" ht="15" hidden="false" customHeight="false" outlineLevel="0" collapsed="false">
      <c r="A106" s="6"/>
      <c r="B106" s="6"/>
      <c r="C106" s="6"/>
      <c r="D106" s="6"/>
      <c r="E106" s="6"/>
      <c r="F106" s="6"/>
      <c r="G106" s="6"/>
    </row>
    <row r="107" customFormat="false" ht="15" hidden="false" customHeight="false" outlineLevel="0" collapsed="false">
      <c r="A107" s="6"/>
      <c r="B107" s="6"/>
      <c r="C107" s="6"/>
      <c r="D107" s="6"/>
      <c r="E107" s="6"/>
      <c r="F107" s="6"/>
      <c r="G107" s="6"/>
    </row>
    <row r="108" customFormat="false" ht="15" hidden="false" customHeight="false" outlineLevel="0" collapsed="false">
      <c r="A108" s="6"/>
      <c r="B108" s="6"/>
      <c r="C108" s="6"/>
      <c r="D108" s="6"/>
      <c r="E108" s="6"/>
      <c r="F108" s="6"/>
      <c r="G108" s="6"/>
    </row>
    <row r="109" customFormat="false" ht="15" hidden="false" customHeight="false" outlineLevel="0" collapsed="false">
      <c r="A109" s="6"/>
      <c r="B109" s="6"/>
      <c r="C109" s="6"/>
      <c r="D109" s="6"/>
      <c r="E109" s="6"/>
      <c r="F109" s="6"/>
      <c r="G109" s="6"/>
    </row>
    <row r="110" customFormat="false" ht="15" hidden="false" customHeight="false" outlineLevel="0" collapsed="false">
      <c r="A110" s="6"/>
      <c r="B110" s="6"/>
      <c r="C110" s="6"/>
      <c r="D110" s="6"/>
      <c r="E110" s="6"/>
      <c r="F110" s="6"/>
      <c r="G110" s="6"/>
    </row>
    <row r="111" customFormat="false" ht="15" hidden="false" customHeight="false" outlineLevel="0" collapsed="false">
      <c r="A111" s="6"/>
      <c r="B111" s="6"/>
      <c r="C111" s="6"/>
      <c r="D111" s="6"/>
      <c r="E111" s="6"/>
      <c r="F111" s="6"/>
      <c r="G111" s="6"/>
    </row>
    <row r="112" customFormat="false" ht="15" hidden="false" customHeight="false" outlineLevel="0" collapsed="false">
      <c r="A112" s="6"/>
      <c r="B112" s="6"/>
      <c r="C112" s="6"/>
      <c r="D112" s="6"/>
      <c r="E112" s="6"/>
      <c r="F112" s="6"/>
      <c r="G112" s="6"/>
    </row>
    <row r="113" customFormat="false" ht="15" hidden="false" customHeight="false" outlineLevel="0" collapsed="false">
      <c r="A113" s="6"/>
      <c r="B113" s="6"/>
      <c r="C113" s="6"/>
      <c r="D113" s="6"/>
      <c r="E113" s="6"/>
      <c r="F113" s="6"/>
      <c r="G113" s="6"/>
    </row>
    <row r="114" customFormat="false" ht="15" hidden="false" customHeight="false" outlineLevel="0" collapsed="false">
      <c r="A114" s="6"/>
      <c r="B114" s="6"/>
      <c r="C114" s="6"/>
      <c r="D114" s="6"/>
      <c r="E114" s="6"/>
      <c r="F114" s="6"/>
      <c r="G114" s="6"/>
    </row>
    <row r="115" customFormat="false" ht="15" hidden="false" customHeight="false" outlineLevel="0" collapsed="false">
      <c r="A115" s="6"/>
      <c r="B115" s="6"/>
      <c r="C115" s="6"/>
      <c r="D115" s="6"/>
      <c r="E115" s="6"/>
      <c r="F115" s="6"/>
      <c r="G115" s="6"/>
    </row>
    <row r="116" customFormat="false" ht="15" hidden="false" customHeight="false" outlineLevel="0" collapsed="false">
      <c r="A116" s="6"/>
      <c r="B116" s="6"/>
      <c r="C116" s="6"/>
      <c r="D116" s="6"/>
      <c r="E116" s="6"/>
      <c r="F116" s="6"/>
      <c r="G116" s="6"/>
    </row>
    <row r="117" customFormat="false" ht="15" hidden="false" customHeight="false" outlineLevel="0" collapsed="false">
      <c r="A117" s="6"/>
      <c r="B117" s="6"/>
      <c r="C117" s="6"/>
      <c r="D117" s="6"/>
      <c r="E117" s="6"/>
      <c r="F117" s="6"/>
      <c r="G117" s="6"/>
    </row>
    <row r="118" customFormat="false" ht="15" hidden="false" customHeight="false" outlineLevel="0" collapsed="false">
      <c r="A118" s="6"/>
      <c r="B118" s="6"/>
      <c r="C118" s="6"/>
      <c r="D118" s="6"/>
      <c r="E118" s="6"/>
      <c r="F118" s="6"/>
      <c r="G118" s="6"/>
    </row>
    <row r="119" customFormat="false" ht="15" hidden="false" customHeight="false" outlineLevel="0" collapsed="false">
      <c r="A119" s="6"/>
      <c r="B119" s="6"/>
      <c r="C119" s="6"/>
      <c r="D119" s="6"/>
      <c r="E119" s="6"/>
      <c r="F119" s="6"/>
      <c r="G119" s="6"/>
    </row>
    <row r="120" customFormat="false" ht="15" hidden="false" customHeight="false" outlineLevel="0" collapsed="false">
      <c r="A120" s="6"/>
      <c r="B120" s="6"/>
      <c r="C120" s="6"/>
      <c r="D120" s="6"/>
      <c r="E120" s="6"/>
      <c r="F120" s="6"/>
      <c r="G120" s="6"/>
    </row>
    <row r="121" customFormat="false" ht="15" hidden="false" customHeight="false" outlineLevel="0" collapsed="false">
      <c r="A121" s="6"/>
      <c r="B121" s="6"/>
      <c r="C121" s="6"/>
      <c r="D121" s="6"/>
      <c r="E121" s="6"/>
      <c r="F121" s="6"/>
      <c r="G121" s="6"/>
    </row>
    <row r="122" customFormat="false" ht="15" hidden="false" customHeight="false" outlineLevel="0" collapsed="false">
      <c r="A122" s="6"/>
      <c r="B122" s="6"/>
      <c r="C122" s="6"/>
      <c r="D122" s="6"/>
      <c r="E122" s="6"/>
      <c r="F122" s="6"/>
      <c r="G122" s="6"/>
    </row>
    <row r="123" customFormat="false" ht="15" hidden="false" customHeight="false" outlineLevel="0" collapsed="false">
      <c r="A123" s="6"/>
      <c r="B123" s="6"/>
      <c r="C123" s="6"/>
      <c r="D123" s="6"/>
      <c r="E123" s="6"/>
      <c r="F123" s="6"/>
      <c r="G123" s="6"/>
    </row>
    <row r="124" customFormat="false" ht="15" hidden="false" customHeight="false" outlineLevel="0" collapsed="false">
      <c r="A124" s="6"/>
      <c r="B124" s="6"/>
      <c r="C124" s="6"/>
      <c r="D124" s="6"/>
      <c r="E124" s="6"/>
      <c r="F124" s="6"/>
      <c r="G124" s="6"/>
    </row>
    <row r="125" customFormat="false" ht="15" hidden="false" customHeight="false" outlineLevel="0" collapsed="false">
      <c r="A125" s="6"/>
      <c r="B125" s="6"/>
      <c r="C125" s="6"/>
      <c r="D125" s="6"/>
      <c r="E125" s="6"/>
      <c r="F125" s="6"/>
      <c r="G125" s="6"/>
    </row>
    <row r="126" customFormat="false" ht="15" hidden="false" customHeight="false" outlineLevel="0" collapsed="false">
      <c r="A126" s="6"/>
      <c r="B126" s="6"/>
      <c r="C126" s="6"/>
      <c r="D126" s="6"/>
      <c r="E126" s="6"/>
      <c r="F126" s="6"/>
      <c r="G126" s="6"/>
    </row>
    <row r="127" customFormat="false" ht="15" hidden="false" customHeight="false" outlineLevel="0" collapsed="false">
      <c r="A127" s="6"/>
      <c r="B127" s="6"/>
      <c r="C127" s="6"/>
      <c r="D127" s="6"/>
      <c r="E127" s="6"/>
      <c r="F127" s="6"/>
      <c r="G127" s="6"/>
    </row>
    <row r="128" customFormat="false" ht="15" hidden="false" customHeight="false" outlineLevel="0" collapsed="false">
      <c r="A128" s="6"/>
      <c r="B128" s="6"/>
      <c r="C128" s="6"/>
      <c r="D128" s="6"/>
      <c r="E128" s="6"/>
      <c r="F128" s="6"/>
      <c r="G128" s="6"/>
    </row>
    <row r="129" customFormat="false" ht="15" hidden="false" customHeight="false" outlineLevel="0" collapsed="false">
      <c r="A129" s="6"/>
      <c r="B129" s="6"/>
      <c r="C129" s="6"/>
      <c r="D129" s="6"/>
      <c r="E129" s="6"/>
      <c r="F129" s="6"/>
      <c r="G129" s="6"/>
    </row>
    <row r="130" customFormat="false" ht="15" hidden="false" customHeight="false" outlineLevel="0" collapsed="false">
      <c r="A130" s="6"/>
      <c r="B130" s="6"/>
      <c r="C130" s="6"/>
      <c r="D130" s="6"/>
      <c r="E130" s="6"/>
      <c r="F130" s="6"/>
      <c r="G130" s="6"/>
    </row>
    <row r="131" customFormat="false" ht="15" hidden="false" customHeight="false" outlineLevel="0" collapsed="false">
      <c r="A131" s="6"/>
      <c r="B131" s="6"/>
      <c r="C131" s="6"/>
      <c r="D131" s="6"/>
      <c r="E131" s="6"/>
      <c r="F131" s="6"/>
      <c r="G131" s="6"/>
    </row>
    <row r="132" customFormat="false" ht="15" hidden="false" customHeight="false" outlineLevel="0" collapsed="false">
      <c r="A132" s="6"/>
      <c r="B132" s="6"/>
      <c r="C132" s="6"/>
      <c r="D132" s="6"/>
      <c r="E132" s="6"/>
      <c r="F132" s="6"/>
      <c r="G132" s="6"/>
    </row>
    <row r="133" customFormat="false" ht="15" hidden="false" customHeight="false" outlineLevel="0" collapsed="false">
      <c r="A133" s="6"/>
      <c r="B133" s="6"/>
      <c r="C133" s="6"/>
      <c r="D133" s="6"/>
      <c r="E133" s="6"/>
      <c r="F133" s="6"/>
      <c r="G133" s="6"/>
    </row>
    <row r="134" customFormat="false" ht="15" hidden="false" customHeight="false" outlineLevel="0" collapsed="false">
      <c r="A134" s="6"/>
      <c r="B134" s="6"/>
      <c r="C134" s="6"/>
      <c r="D134" s="6"/>
      <c r="E134" s="6"/>
      <c r="F134" s="6"/>
      <c r="G134" s="6"/>
    </row>
    <row r="135" customFormat="false" ht="15" hidden="false" customHeight="false" outlineLevel="0" collapsed="false">
      <c r="A135" s="6"/>
      <c r="B135" s="6"/>
      <c r="C135" s="6"/>
      <c r="D135" s="6"/>
      <c r="E135" s="6"/>
      <c r="F135" s="6"/>
      <c r="G135" s="6"/>
    </row>
    <row r="136" customFormat="false" ht="15" hidden="false" customHeight="false" outlineLevel="0" collapsed="false">
      <c r="A136" s="6"/>
      <c r="B136" s="6"/>
      <c r="C136" s="6"/>
      <c r="D136" s="6"/>
      <c r="E136" s="6"/>
      <c r="F136" s="6"/>
      <c r="G136" s="6"/>
    </row>
    <row r="137" customFormat="false" ht="15" hidden="false" customHeight="false" outlineLevel="0" collapsed="false">
      <c r="A137" s="6"/>
      <c r="B137" s="6"/>
      <c r="C137" s="6"/>
      <c r="D137" s="6"/>
      <c r="E137" s="6"/>
      <c r="F137" s="6"/>
      <c r="G137" s="6"/>
    </row>
    <row r="138" customFormat="false" ht="15" hidden="false" customHeight="false" outlineLevel="0" collapsed="false">
      <c r="A138" s="6"/>
      <c r="B138" s="6"/>
      <c r="C138" s="6"/>
      <c r="D138" s="6"/>
      <c r="E138" s="6"/>
      <c r="F138" s="6"/>
      <c r="G138" s="6"/>
    </row>
    <row r="139" customFormat="false" ht="15" hidden="false" customHeight="false" outlineLevel="0" collapsed="false">
      <c r="A139" s="6"/>
      <c r="B139" s="6"/>
      <c r="C139" s="6"/>
      <c r="D139" s="6"/>
      <c r="E139" s="6"/>
      <c r="F139" s="6"/>
      <c r="G139" s="6"/>
    </row>
    <row r="140" customFormat="false" ht="15" hidden="false" customHeight="false" outlineLevel="0" collapsed="false">
      <c r="A140" s="6"/>
      <c r="B140" s="6"/>
      <c r="C140" s="6"/>
      <c r="D140" s="6"/>
      <c r="E140" s="6"/>
      <c r="F140" s="6"/>
      <c r="G140" s="6"/>
    </row>
    <row r="141" customFormat="false" ht="15" hidden="false" customHeight="false" outlineLevel="0" collapsed="false">
      <c r="A141" s="6"/>
      <c r="B141" s="6"/>
      <c r="C141" s="6"/>
      <c r="D141" s="6"/>
      <c r="E141" s="6"/>
      <c r="F141" s="6"/>
      <c r="G141" s="6"/>
    </row>
    <row r="142" customFormat="false" ht="15" hidden="false" customHeight="false" outlineLevel="0" collapsed="false">
      <c r="A142" s="6"/>
      <c r="B142" s="6"/>
      <c r="C142" s="6"/>
      <c r="D142" s="6"/>
      <c r="E142" s="6"/>
      <c r="F142" s="6"/>
      <c r="G142" s="6"/>
    </row>
    <row r="143" customFormat="false" ht="15" hidden="false" customHeight="false" outlineLevel="0" collapsed="false">
      <c r="A143" s="6"/>
      <c r="B143" s="6"/>
      <c r="C143" s="6"/>
      <c r="D143" s="6"/>
      <c r="E143" s="6"/>
      <c r="F143" s="6"/>
      <c r="G143" s="6"/>
    </row>
    <row r="144" customFormat="false" ht="15" hidden="false" customHeight="false" outlineLevel="0" collapsed="false">
      <c r="A144" s="6"/>
      <c r="B144" s="6"/>
      <c r="C144" s="6"/>
      <c r="D144" s="6"/>
      <c r="E144" s="6"/>
      <c r="F144" s="6"/>
      <c r="G144" s="6"/>
    </row>
    <row r="145" customFormat="false" ht="15" hidden="false" customHeight="false" outlineLevel="0" collapsed="false">
      <c r="A145" s="6"/>
      <c r="B145" s="6"/>
      <c r="C145" s="6"/>
      <c r="D145" s="6"/>
      <c r="E145" s="6"/>
      <c r="F145" s="6"/>
      <c r="G145" s="6"/>
    </row>
    <row r="146" customFormat="false" ht="15" hidden="false" customHeight="false" outlineLevel="0" collapsed="false">
      <c r="A146" s="6"/>
      <c r="B146" s="6"/>
      <c r="C146" s="6"/>
      <c r="D146" s="6"/>
      <c r="E146" s="6"/>
      <c r="F146" s="6"/>
      <c r="G146" s="6"/>
    </row>
    <row r="147" customFormat="false" ht="15" hidden="false" customHeight="false" outlineLevel="0" collapsed="false">
      <c r="A147" s="6"/>
      <c r="B147" s="6"/>
      <c r="C147" s="6"/>
      <c r="D147" s="6"/>
      <c r="E147" s="6"/>
      <c r="F147" s="6"/>
      <c r="G147" s="6"/>
    </row>
    <row r="148" customFormat="false" ht="15" hidden="false" customHeight="false" outlineLevel="0" collapsed="false">
      <c r="A148" s="6"/>
      <c r="B148" s="6"/>
      <c r="C148" s="6"/>
      <c r="D148" s="6"/>
      <c r="E148" s="6"/>
      <c r="F148" s="6"/>
      <c r="G148" s="6"/>
    </row>
    <row r="149" customFormat="false" ht="15" hidden="false" customHeight="false" outlineLevel="0" collapsed="false">
      <c r="A149" s="6"/>
      <c r="B149" s="6"/>
      <c r="C149" s="6"/>
      <c r="D149" s="6"/>
      <c r="E149" s="6"/>
      <c r="F149" s="6"/>
      <c r="G149" s="6"/>
    </row>
    <row r="150" customFormat="false" ht="15" hidden="false" customHeight="false" outlineLevel="0" collapsed="false">
      <c r="A150" s="6"/>
      <c r="B150" s="6"/>
      <c r="C150" s="6"/>
      <c r="D150" s="6"/>
      <c r="E150" s="6"/>
      <c r="F150" s="6"/>
      <c r="G150" s="6"/>
    </row>
    <row r="151" customFormat="false" ht="15" hidden="false" customHeight="false" outlineLevel="0" collapsed="false">
      <c r="A151" s="6"/>
      <c r="B151" s="6"/>
      <c r="C151" s="6"/>
      <c r="D151" s="6"/>
      <c r="E151" s="6"/>
      <c r="F151" s="6"/>
      <c r="G151" s="6"/>
    </row>
    <row r="152" customFormat="false" ht="15" hidden="false" customHeight="false" outlineLevel="0" collapsed="false">
      <c r="A152" s="6"/>
      <c r="B152" s="6"/>
      <c r="C152" s="6"/>
      <c r="D152" s="6"/>
      <c r="E152" s="6"/>
      <c r="F152" s="6"/>
      <c r="G152" s="6"/>
    </row>
    <row r="153" customFormat="false" ht="15" hidden="false" customHeight="false" outlineLevel="0" collapsed="false">
      <c r="A153" s="6"/>
      <c r="B153" s="6"/>
      <c r="C153" s="6"/>
      <c r="D153" s="6"/>
      <c r="E153" s="6"/>
      <c r="F153" s="6"/>
      <c r="G153" s="6"/>
    </row>
    <row r="154" customFormat="false" ht="15" hidden="false" customHeight="false" outlineLevel="0" collapsed="false">
      <c r="A154" s="6"/>
      <c r="B154" s="6"/>
      <c r="C154" s="6"/>
      <c r="D154" s="6"/>
      <c r="E154" s="6"/>
      <c r="F154" s="6"/>
      <c r="G154" s="6"/>
    </row>
    <row r="155" customFormat="false" ht="15" hidden="false" customHeight="false" outlineLevel="0" collapsed="false">
      <c r="A155" s="6"/>
      <c r="B155" s="6"/>
      <c r="C155" s="6"/>
      <c r="D155" s="6"/>
      <c r="E155" s="6"/>
      <c r="F155" s="6"/>
      <c r="G155" s="6"/>
    </row>
    <row r="156" customFormat="false" ht="15" hidden="false" customHeight="false" outlineLevel="0" collapsed="false">
      <c r="A156" s="6"/>
      <c r="B156" s="6"/>
      <c r="C156" s="6"/>
      <c r="D156" s="6"/>
      <c r="E156" s="6"/>
      <c r="F156" s="6"/>
      <c r="G156" s="6"/>
    </row>
    <row r="157" customFormat="false" ht="15" hidden="false" customHeight="false" outlineLevel="0" collapsed="false">
      <c r="A157" s="6"/>
      <c r="B157" s="6"/>
      <c r="C157" s="6"/>
      <c r="D157" s="6"/>
      <c r="E157" s="6"/>
      <c r="F157" s="6"/>
      <c r="G157" s="6"/>
    </row>
    <row r="158" customFormat="false" ht="15" hidden="false" customHeight="false" outlineLevel="0" collapsed="false">
      <c r="A158" s="6"/>
      <c r="B158" s="6"/>
      <c r="C158" s="6"/>
      <c r="D158" s="6"/>
      <c r="E158" s="6"/>
      <c r="F158" s="6"/>
      <c r="G158" s="6"/>
    </row>
    <row r="159" customFormat="false" ht="15" hidden="false" customHeight="false" outlineLevel="0" collapsed="false">
      <c r="A159" s="6"/>
      <c r="B159" s="6"/>
      <c r="C159" s="6"/>
      <c r="D159" s="6"/>
      <c r="E159" s="6"/>
      <c r="F159" s="6"/>
      <c r="G159" s="6"/>
    </row>
    <row r="160" customFormat="false" ht="15" hidden="false" customHeight="false" outlineLevel="0" collapsed="false">
      <c r="A160" s="6"/>
      <c r="B160" s="6"/>
      <c r="C160" s="6"/>
      <c r="D160" s="6"/>
      <c r="E160" s="6"/>
      <c r="F160" s="6"/>
      <c r="G160" s="6"/>
    </row>
    <row r="161" customFormat="false" ht="15" hidden="false" customHeight="false" outlineLevel="0" collapsed="false">
      <c r="A161" s="6"/>
      <c r="B161" s="6"/>
      <c r="C161" s="6"/>
      <c r="D161" s="6"/>
      <c r="E161" s="6"/>
      <c r="F161" s="6"/>
      <c r="G161" s="6"/>
    </row>
    <row r="162" customFormat="false" ht="15" hidden="false" customHeight="false" outlineLevel="0" collapsed="false">
      <c r="A162" s="6"/>
      <c r="B162" s="6"/>
      <c r="C162" s="6"/>
      <c r="D162" s="6"/>
      <c r="E162" s="6"/>
      <c r="F162" s="6"/>
      <c r="G162" s="6"/>
    </row>
    <row r="163" customFormat="false" ht="15" hidden="false" customHeight="false" outlineLevel="0" collapsed="false">
      <c r="A163" s="6"/>
      <c r="B163" s="6"/>
      <c r="C163" s="6"/>
      <c r="D163" s="6"/>
      <c r="E163" s="6"/>
      <c r="F163" s="6"/>
      <c r="G163" s="6"/>
    </row>
    <row r="164" customFormat="false" ht="15" hidden="false" customHeight="false" outlineLevel="0" collapsed="false">
      <c r="A164" s="6"/>
      <c r="B164" s="6"/>
      <c r="C164" s="6"/>
      <c r="D164" s="6"/>
      <c r="E164" s="6"/>
      <c r="F164" s="6"/>
      <c r="G164" s="6"/>
    </row>
    <row r="165" customFormat="false" ht="15" hidden="false" customHeight="false" outlineLevel="0" collapsed="false">
      <c r="A165" s="6"/>
      <c r="B165" s="6"/>
      <c r="C165" s="6"/>
      <c r="D165" s="6"/>
      <c r="E165" s="6"/>
      <c r="F165" s="6"/>
      <c r="G165" s="6"/>
    </row>
    <row r="166" customFormat="false" ht="15" hidden="false" customHeight="false" outlineLevel="0" collapsed="false">
      <c r="A166" s="6"/>
      <c r="B166" s="6"/>
      <c r="C166" s="6"/>
      <c r="D166" s="6"/>
      <c r="E166" s="6"/>
      <c r="F166" s="6"/>
      <c r="G166" s="6"/>
    </row>
    <row r="167" customFormat="false" ht="15" hidden="false" customHeight="false" outlineLevel="0" collapsed="false">
      <c r="A167" s="6"/>
      <c r="B167" s="6"/>
      <c r="C167" s="6"/>
      <c r="D167" s="6"/>
      <c r="E167" s="6"/>
      <c r="F167" s="6"/>
      <c r="G167" s="6"/>
    </row>
    <row r="168" customFormat="false" ht="15" hidden="false" customHeight="false" outlineLevel="0" collapsed="false">
      <c r="A168" s="6"/>
      <c r="B168" s="6"/>
      <c r="C168" s="6"/>
      <c r="D168" s="6"/>
      <c r="E168" s="6"/>
      <c r="F168" s="6"/>
      <c r="G168" s="6"/>
    </row>
    <row r="169" customFormat="false" ht="15" hidden="false" customHeight="false" outlineLevel="0" collapsed="false">
      <c r="A169" s="6"/>
      <c r="B169" s="6"/>
      <c r="C169" s="6"/>
      <c r="D169" s="6"/>
      <c r="E169" s="6"/>
      <c r="F169" s="6"/>
      <c r="G169" s="6"/>
    </row>
    <row r="170" customFormat="false" ht="15" hidden="false" customHeight="false" outlineLevel="0" collapsed="false">
      <c r="A170" s="6"/>
      <c r="B170" s="6"/>
      <c r="C170" s="6"/>
      <c r="D170" s="6"/>
      <c r="E170" s="6"/>
      <c r="F170" s="6"/>
      <c r="G170" s="6"/>
    </row>
    <row r="171" customFormat="false" ht="15" hidden="false" customHeight="false" outlineLevel="0" collapsed="false">
      <c r="A171" s="6"/>
      <c r="B171" s="6"/>
      <c r="C171" s="6"/>
      <c r="D171" s="6"/>
      <c r="E171" s="6"/>
      <c r="F171" s="6"/>
      <c r="G171" s="6"/>
    </row>
    <row r="172" customFormat="false" ht="15" hidden="false" customHeight="false" outlineLevel="0" collapsed="false">
      <c r="A172" s="6"/>
      <c r="B172" s="6"/>
      <c r="C172" s="6"/>
      <c r="D172" s="6"/>
      <c r="E172" s="6"/>
      <c r="F172" s="6"/>
      <c r="G172" s="6"/>
    </row>
    <row r="173" customFormat="false" ht="15" hidden="false" customHeight="false" outlineLevel="0" collapsed="false">
      <c r="A173" s="6"/>
      <c r="B173" s="6"/>
      <c r="C173" s="6"/>
      <c r="D173" s="6"/>
      <c r="E173" s="6"/>
      <c r="F173" s="6"/>
      <c r="G173" s="6"/>
    </row>
    <row r="174" customFormat="false" ht="15" hidden="false" customHeight="false" outlineLevel="0" collapsed="false">
      <c r="A174" s="6"/>
      <c r="B174" s="6"/>
      <c r="C174" s="6"/>
      <c r="D174" s="6"/>
      <c r="E174" s="6"/>
      <c r="F174" s="6"/>
      <c r="G174" s="6"/>
    </row>
    <row r="175" customFormat="false" ht="15" hidden="false" customHeight="false" outlineLevel="0" collapsed="false">
      <c r="A175" s="6"/>
      <c r="B175" s="6"/>
      <c r="C175" s="6"/>
      <c r="D175" s="6"/>
      <c r="E175" s="6"/>
      <c r="F175" s="6"/>
      <c r="G175" s="6"/>
    </row>
    <row r="176" customFormat="false" ht="15" hidden="false" customHeight="false" outlineLevel="0" collapsed="false">
      <c r="A176" s="6"/>
      <c r="B176" s="6"/>
      <c r="C176" s="6"/>
      <c r="D176" s="6"/>
      <c r="E176" s="6"/>
      <c r="F176" s="6"/>
      <c r="G176" s="6"/>
    </row>
    <row r="177" customFormat="false" ht="15" hidden="false" customHeight="false" outlineLevel="0" collapsed="false">
      <c r="A177" s="6"/>
      <c r="B177" s="6"/>
      <c r="C177" s="6"/>
      <c r="D177" s="6"/>
      <c r="E177" s="6"/>
      <c r="F177" s="6"/>
      <c r="G177" s="6"/>
    </row>
    <row r="178" customFormat="false" ht="15" hidden="false" customHeight="false" outlineLevel="0" collapsed="false">
      <c r="A178" s="6"/>
      <c r="B178" s="6"/>
      <c r="C178" s="6"/>
      <c r="D178" s="6"/>
      <c r="E178" s="6"/>
      <c r="F178" s="6"/>
      <c r="G178" s="6"/>
    </row>
    <row r="179" customFormat="false" ht="15" hidden="false" customHeight="false" outlineLevel="0" collapsed="false">
      <c r="A179" s="6"/>
      <c r="B179" s="6"/>
      <c r="C179" s="6"/>
      <c r="D179" s="6"/>
      <c r="E179" s="6"/>
      <c r="F179" s="6"/>
      <c r="G179" s="6"/>
    </row>
    <row r="180" customFormat="false" ht="15" hidden="false" customHeight="false" outlineLevel="0" collapsed="false">
      <c r="A180" s="6"/>
      <c r="B180" s="6"/>
      <c r="C180" s="6"/>
      <c r="D180" s="6"/>
      <c r="E180" s="6"/>
      <c r="F180" s="6"/>
      <c r="G180" s="6"/>
    </row>
    <row r="181" customFormat="false" ht="15" hidden="false" customHeight="false" outlineLevel="0" collapsed="false">
      <c r="A181" s="6"/>
      <c r="B181" s="6"/>
      <c r="C181" s="6"/>
      <c r="D181" s="6"/>
      <c r="E181" s="6"/>
      <c r="F181" s="6"/>
      <c r="G181" s="6"/>
    </row>
    <row r="182" customFormat="false" ht="15" hidden="false" customHeight="false" outlineLevel="0" collapsed="false">
      <c r="A182" s="6"/>
      <c r="B182" s="6"/>
      <c r="C182" s="6"/>
      <c r="D182" s="6"/>
      <c r="E182" s="6"/>
      <c r="F182" s="6"/>
      <c r="G182" s="6"/>
    </row>
    <row r="183" customFormat="false" ht="15" hidden="false" customHeight="false" outlineLevel="0" collapsed="false">
      <c r="A183" s="6"/>
      <c r="B183" s="6"/>
      <c r="C183" s="6"/>
      <c r="D183" s="6"/>
      <c r="E183" s="6"/>
      <c r="F183" s="6"/>
      <c r="G183" s="6"/>
    </row>
    <row r="184" customFormat="false" ht="15" hidden="false" customHeight="false" outlineLevel="0" collapsed="false">
      <c r="A184" s="6"/>
      <c r="B184" s="6"/>
      <c r="C184" s="6"/>
      <c r="D184" s="6"/>
      <c r="E184" s="6"/>
      <c r="F184" s="6"/>
      <c r="G184" s="6"/>
    </row>
    <row r="185" customFormat="false" ht="15" hidden="false" customHeight="false" outlineLevel="0" collapsed="false">
      <c r="A185" s="6"/>
      <c r="B185" s="6"/>
      <c r="C185" s="6"/>
      <c r="D185" s="6"/>
      <c r="E185" s="6"/>
      <c r="F185" s="6"/>
      <c r="G185" s="6"/>
    </row>
    <row r="186" customFormat="false" ht="15" hidden="false" customHeight="false" outlineLevel="0" collapsed="false">
      <c r="A186" s="6"/>
      <c r="B186" s="6"/>
      <c r="C186" s="6"/>
      <c r="D186" s="6"/>
      <c r="E186" s="6"/>
      <c r="F186" s="6"/>
      <c r="G186" s="6"/>
    </row>
    <row r="187" customFormat="false" ht="15" hidden="false" customHeight="false" outlineLevel="0" collapsed="false">
      <c r="A187" s="6"/>
      <c r="B187" s="6"/>
      <c r="C187" s="6"/>
      <c r="D187" s="6"/>
      <c r="E187" s="6"/>
      <c r="F187" s="6"/>
      <c r="G187" s="6"/>
    </row>
    <row r="188" customFormat="false" ht="15" hidden="false" customHeight="false" outlineLevel="0" collapsed="false">
      <c r="A188" s="6"/>
      <c r="B188" s="6"/>
      <c r="C188" s="6"/>
      <c r="D188" s="6"/>
      <c r="E188" s="6"/>
      <c r="F188" s="6"/>
      <c r="G188" s="6"/>
    </row>
    <row r="189" customFormat="false" ht="15" hidden="false" customHeight="false" outlineLevel="0" collapsed="false">
      <c r="A189" s="6"/>
      <c r="B189" s="6"/>
      <c r="C189" s="6"/>
      <c r="D189" s="6"/>
      <c r="E189" s="6"/>
      <c r="F189" s="6"/>
      <c r="G189" s="6"/>
    </row>
    <row r="190" customFormat="false" ht="15" hidden="false" customHeight="false" outlineLevel="0" collapsed="false">
      <c r="A190" s="6"/>
      <c r="B190" s="6"/>
      <c r="C190" s="6"/>
      <c r="D190" s="6"/>
      <c r="E190" s="6"/>
      <c r="F190" s="6"/>
      <c r="G190" s="6"/>
    </row>
    <row r="191" customFormat="false" ht="15" hidden="false" customHeight="false" outlineLevel="0" collapsed="false">
      <c r="A191" s="6"/>
      <c r="B191" s="6"/>
      <c r="C191" s="6"/>
      <c r="D191" s="6"/>
      <c r="E191" s="6"/>
      <c r="F191" s="6"/>
      <c r="G191" s="6"/>
    </row>
    <row r="192" customFormat="false" ht="15" hidden="false" customHeight="false" outlineLevel="0" collapsed="false">
      <c r="A192" s="6"/>
      <c r="B192" s="6"/>
      <c r="C192" s="6"/>
      <c r="D192" s="6"/>
      <c r="E192" s="6"/>
      <c r="F192" s="6"/>
      <c r="G192" s="6"/>
    </row>
    <row r="193" customFormat="false" ht="15" hidden="false" customHeight="false" outlineLevel="0" collapsed="false">
      <c r="A193" s="6"/>
      <c r="B193" s="6"/>
      <c r="C193" s="6"/>
      <c r="D193" s="6"/>
      <c r="E193" s="6"/>
      <c r="F193" s="6"/>
      <c r="G193" s="6"/>
    </row>
    <row r="194" customFormat="false" ht="15" hidden="false" customHeight="false" outlineLevel="0" collapsed="false">
      <c r="A194" s="6"/>
      <c r="B194" s="6"/>
      <c r="C194" s="6"/>
      <c r="D194" s="6"/>
      <c r="E194" s="6"/>
      <c r="F194" s="6"/>
      <c r="G194" s="6"/>
    </row>
    <row r="195" customFormat="false" ht="15" hidden="false" customHeight="false" outlineLevel="0" collapsed="false">
      <c r="A195" s="6"/>
      <c r="B195" s="6"/>
      <c r="C195" s="6"/>
      <c r="D195" s="6"/>
      <c r="E195" s="6"/>
      <c r="F195" s="6"/>
      <c r="G195" s="6"/>
    </row>
    <row r="196" customFormat="false" ht="15" hidden="false" customHeight="false" outlineLevel="0" collapsed="false">
      <c r="A196" s="6"/>
      <c r="B196" s="6"/>
      <c r="C196" s="6"/>
      <c r="D196" s="6"/>
      <c r="E196" s="6"/>
      <c r="F196" s="6"/>
      <c r="G196" s="6"/>
    </row>
    <row r="197" customFormat="false" ht="15" hidden="false" customHeight="false" outlineLevel="0" collapsed="false">
      <c r="A197" s="6"/>
      <c r="B197" s="6"/>
      <c r="C197" s="6"/>
      <c r="D197" s="6"/>
      <c r="E197" s="6"/>
      <c r="F197" s="6"/>
      <c r="G197" s="6"/>
    </row>
    <row r="198" customFormat="false" ht="15" hidden="false" customHeight="false" outlineLevel="0" collapsed="false">
      <c r="A198" s="6"/>
      <c r="B198" s="6"/>
      <c r="C198" s="6"/>
      <c r="D198" s="6"/>
      <c r="E198" s="6"/>
      <c r="F198" s="6"/>
      <c r="G198" s="6"/>
    </row>
    <row r="199" customFormat="false" ht="15" hidden="false" customHeight="false" outlineLevel="0" collapsed="false">
      <c r="A199" s="6"/>
      <c r="B199" s="6"/>
      <c r="C199" s="6"/>
      <c r="D199" s="6"/>
      <c r="E199" s="6"/>
      <c r="F199" s="6"/>
      <c r="G199" s="6"/>
    </row>
    <row r="200" customFormat="false" ht="15" hidden="false" customHeight="false" outlineLevel="0" collapsed="false">
      <c r="A200" s="6"/>
      <c r="B200" s="6"/>
      <c r="C200" s="6"/>
      <c r="D200" s="6"/>
      <c r="E200" s="6"/>
      <c r="F200" s="6"/>
      <c r="G200" s="6"/>
    </row>
    <row r="201" customFormat="false" ht="15" hidden="false" customHeight="false" outlineLevel="0" collapsed="false">
      <c r="A201" s="6"/>
      <c r="B201" s="6"/>
      <c r="C201" s="6"/>
      <c r="D201" s="6"/>
      <c r="E201" s="6"/>
      <c r="F201" s="6"/>
      <c r="G201" s="6"/>
    </row>
    <row r="202" customFormat="false" ht="15" hidden="false" customHeight="false" outlineLevel="0" collapsed="false">
      <c r="A202" s="6"/>
      <c r="B202" s="6"/>
      <c r="C202" s="6"/>
      <c r="D202" s="6"/>
      <c r="E202" s="6"/>
      <c r="F202" s="6"/>
      <c r="G202" s="6"/>
    </row>
    <row r="203" customFormat="false" ht="15" hidden="false" customHeight="false" outlineLevel="0" collapsed="false">
      <c r="A203" s="6"/>
      <c r="B203" s="6"/>
      <c r="C203" s="6"/>
      <c r="D203" s="6"/>
      <c r="E203" s="6"/>
      <c r="F203" s="6"/>
      <c r="G203" s="6"/>
    </row>
    <row r="204" customFormat="false" ht="15" hidden="false" customHeight="false" outlineLevel="0" collapsed="false">
      <c r="A204" s="6"/>
      <c r="B204" s="6"/>
      <c r="C204" s="6"/>
      <c r="D204" s="6"/>
      <c r="E204" s="6"/>
      <c r="F204" s="6"/>
      <c r="G204" s="6"/>
    </row>
    <row r="205" customFormat="false" ht="15" hidden="false" customHeight="false" outlineLevel="0" collapsed="false">
      <c r="A205" s="6"/>
      <c r="B205" s="6"/>
      <c r="C205" s="6"/>
      <c r="D205" s="6"/>
      <c r="E205" s="6"/>
      <c r="F205" s="6"/>
      <c r="G205" s="6"/>
    </row>
    <row r="206" customFormat="false" ht="15" hidden="false" customHeight="false" outlineLevel="0" collapsed="false">
      <c r="A206" s="6"/>
      <c r="B206" s="6"/>
      <c r="C206" s="6"/>
      <c r="D206" s="6"/>
      <c r="E206" s="6"/>
      <c r="F206" s="6"/>
      <c r="G206" s="6"/>
    </row>
    <row r="207" customFormat="false" ht="15" hidden="false" customHeight="false" outlineLevel="0" collapsed="false">
      <c r="A207" s="6"/>
      <c r="B207" s="6"/>
      <c r="C207" s="6"/>
      <c r="D207" s="6"/>
      <c r="E207" s="6"/>
      <c r="F207" s="6"/>
      <c r="G207" s="6"/>
    </row>
    <row r="208" customFormat="false" ht="15" hidden="false" customHeight="false" outlineLevel="0" collapsed="false">
      <c r="A208" s="6"/>
      <c r="B208" s="6"/>
      <c r="C208" s="6"/>
      <c r="D208" s="6"/>
      <c r="E208" s="6"/>
      <c r="F208" s="6"/>
      <c r="G208" s="6"/>
    </row>
    <row r="209" customFormat="false" ht="15" hidden="false" customHeight="false" outlineLevel="0" collapsed="false">
      <c r="A209" s="6"/>
      <c r="B209" s="6"/>
      <c r="C209" s="6"/>
      <c r="D209" s="6"/>
      <c r="E209" s="6"/>
      <c r="F209" s="6"/>
      <c r="G209" s="6"/>
    </row>
    <row r="210" customFormat="false" ht="15" hidden="false" customHeight="false" outlineLevel="0" collapsed="false">
      <c r="A210" s="6"/>
      <c r="B210" s="6"/>
      <c r="C210" s="6"/>
      <c r="D210" s="6"/>
      <c r="E210" s="6"/>
      <c r="F210" s="6"/>
      <c r="G210" s="6"/>
    </row>
    <row r="211" customFormat="false" ht="15" hidden="false" customHeight="false" outlineLevel="0" collapsed="false">
      <c r="A211" s="6"/>
      <c r="B211" s="6"/>
      <c r="C211" s="6"/>
      <c r="D211" s="6"/>
      <c r="E211" s="6"/>
      <c r="F211" s="6"/>
      <c r="G211" s="6"/>
    </row>
    <row r="212" customFormat="false" ht="15" hidden="false" customHeight="false" outlineLevel="0" collapsed="false">
      <c r="A212" s="6"/>
      <c r="B212" s="6"/>
      <c r="C212" s="6"/>
      <c r="D212" s="6"/>
      <c r="E212" s="6"/>
      <c r="F212" s="6"/>
      <c r="G212" s="6"/>
    </row>
    <row r="213" customFormat="false" ht="15" hidden="false" customHeight="false" outlineLevel="0" collapsed="false">
      <c r="A213" s="6"/>
      <c r="B213" s="6"/>
      <c r="C213" s="6"/>
      <c r="D213" s="6"/>
      <c r="E213" s="6"/>
      <c r="F213" s="6"/>
      <c r="G213" s="6"/>
    </row>
    <row r="214" customFormat="false" ht="15" hidden="false" customHeight="false" outlineLevel="0" collapsed="false">
      <c r="A214" s="6"/>
      <c r="B214" s="6"/>
      <c r="C214" s="6"/>
      <c r="D214" s="6"/>
      <c r="E214" s="6"/>
      <c r="F214" s="6"/>
      <c r="G214" s="6"/>
    </row>
    <row r="215" customFormat="false" ht="15" hidden="false" customHeight="false" outlineLevel="0" collapsed="false">
      <c r="A215" s="6"/>
      <c r="B215" s="6"/>
      <c r="C215" s="6"/>
      <c r="D215" s="6"/>
      <c r="E215" s="6"/>
      <c r="F215" s="6"/>
      <c r="G215" s="6"/>
    </row>
    <row r="216" customFormat="false" ht="15" hidden="false" customHeight="false" outlineLevel="0" collapsed="false">
      <c r="A216" s="6"/>
      <c r="B216" s="6"/>
      <c r="C216" s="6"/>
      <c r="D216" s="6"/>
      <c r="E216" s="6"/>
      <c r="F216" s="6"/>
      <c r="G216" s="6"/>
    </row>
    <row r="217" customFormat="false" ht="15" hidden="false" customHeight="false" outlineLevel="0" collapsed="false">
      <c r="A217" s="6"/>
      <c r="B217" s="6"/>
      <c r="C217" s="6"/>
      <c r="D217" s="6"/>
      <c r="E217" s="6"/>
      <c r="F217" s="6"/>
      <c r="G217" s="6"/>
    </row>
    <row r="218" customFormat="false" ht="15" hidden="false" customHeight="false" outlineLevel="0" collapsed="false">
      <c r="A218" s="6"/>
      <c r="B218" s="6"/>
      <c r="C218" s="6"/>
      <c r="D218" s="6"/>
      <c r="E218" s="6"/>
      <c r="F218" s="6"/>
      <c r="G218" s="6"/>
    </row>
    <row r="219" customFormat="false" ht="15" hidden="false" customHeight="false" outlineLevel="0" collapsed="false">
      <c r="A219" s="6"/>
      <c r="B219" s="6"/>
      <c r="C219" s="6"/>
      <c r="D219" s="6"/>
      <c r="E219" s="6"/>
      <c r="F219" s="6"/>
      <c r="G219" s="6"/>
    </row>
    <row r="220" customFormat="false" ht="15" hidden="false" customHeight="false" outlineLevel="0" collapsed="false">
      <c r="A220" s="6"/>
      <c r="B220" s="6"/>
      <c r="C220" s="6"/>
      <c r="D220" s="6"/>
      <c r="E220" s="6"/>
      <c r="F220" s="6"/>
      <c r="G220" s="6"/>
    </row>
    <row r="221" customFormat="false" ht="15" hidden="false" customHeight="false" outlineLevel="0" collapsed="false">
      <c r="A221" s="6"/>
      <c r="B221" s="6"/>
      <c r="C221" s="6"/>
      <c r="D221" s="6"/>
      <c r="E221" s="6"/>
      <c r="F221" s="6"/>
      <c r="G221" s="6"/>
    </row>
    <row r="222" customFormat="false" ht="15" hidden="false" customHeight="false" outlineLevel="0" collapsed="false">
      <c r="A222" s="6"/>
      <c r="B222" s="6"/>
      <c r="C222" s="6"/>
      <c r="D222" s="6"/>
      <c r="E222" s="6"/>
      <c r="F222" s="6"/>
      <c r="G222" s="6"/>
    </row>
    <row r="223" customFormat="false" ht="15" hidden="false" customHeight="false" outlineLevel="0" collapsed="false">
      <c r="A223" s="6"/>
      <c r="B223" s="6"/>
      <c r="C223" s="6"/>
      <c r="D223" s="6"/>
      <c r="E223" s="6"/>
      <c r="F223" s="6"/>
      <c r="G223" s="6"/>
    </row>
    <row r="224" customFormat="false" ht="15" hidden="false" customHeight="false" outlineLevel="0" collapsed="false">
      <c r="A224" s="6"/>
      <c r="B224" s="6"/>
      <c r="C224" s="6"/>
      <c r="D224" s="6"/>
      <c r="E224" s="6"/>
      <c r="F224" s="6"/>
      <c r="G224" s="6"/>
    </row>
    <row r="225" customFormat="false" ht="15" hidden="false" customHeight="false" outlineLevel="0" collapsed="false">
      <c r="A225" s="6"/>
      <c r="B225" s="6"/>
      <c r="C225" s="6"/>
      <c r="D225" s="6"/>
      <c r="E225" s="6"/>
      <c r="F225" s="6"/>
      <c r="G225" s="6"/>
    </row>
    <row r="226" customFormat="false" ht="15" hidden="false" customHeight="false" outlineLevel="0" collapsed="false">
      <c r="A226" s="6"/>
      <c r="B226" s="6"/>
      <c r="C226" s="6"/>
      <c r="D226" s="6"/>
      <c r="E226" s="6"/>
      <c r="F226" s="6"/>
      <c r="G226" s="6"/>
    </row>
    <row r="227" customFormat="false" ht="15" hidden="false" customHeight="false" outlineLevel="0" collapsed="false">
      <c r="A227" s="6"/>
      <c r="B227" s="6"/>
      <c r="C227" s="6"/>
      <c r="D227" s="6"/>
      <c r="E227" s="6"/>
      <c r="F227" s="6"/>
      <c r="G227" s="6"/>
    </row>
    <row r="228" customFormat="false" ht="15" hidden="false" customHeight="false" outlineLevel="0" collapsed="false">
      <c r="A228" s="6"/>
      <c r="B228" s="6"/>
      <c r="C228" s="6"/>
      <c r="D228" s="6"/>
      <c r="E228" s="6"/>
      <c r="F228" s="6"/>
      <c r="G228" s="6"/>
    </row>
    <row r="229" customFormat="false" ht="15" hidden="false" customHeight="false" outlineLevel="0" collapsed="false">
      <c r="A229" s="6"/>
      <c r="B229" s="6"/>
      <c r="C229" s="6"/>
      <c r="D229" s="6"/>
      <c r="E229" s="6"/>
      <c r="F229" s="6"/>
      <c r="G229" s="6"/>
    </row>
    <row r="230" customFormat="false" ht="15" hidden="false" customHeight="false" outlineLevel="0" collapsed="false">
      <c r="A230" s="6"/>
      <c r="B230" s="6"/>
      <c r="C230" s="6"/>
      <c r="D230" s="6"/>
      <c r="E230" s="6"/>
      <c r="F230" s="6"/>
      <c r="G230" s="6"/>
    </row>
    <row r="231" customFormat="false" ht="15" hidden="false" customHeight="false" outlineLevel="0" collapsed="false">
      <c r="A231" s="6"/>
      <c r="B231" s="6"/>
      <c r="C231" s="6"/>
      <c r="D231" s="6"/>
      <c r="E231" s="6"/>
      <c r="F231" s="6"/>
      <c r="G231" s="6"/>
    </row>
    <row r="232" customFormat="false" ht="15" hidden="false" customHeight="false" outlineLevel="0" collapsed="false">
      <c r="A232" s="6"/>
      <c r="B232" s="6"/>
      <c r="C232" s="6"/>
      <c r="D232" s="6"/>
      <c r="E232" s="6"/>
      <c r="F232" s="6"/>
      <c r="G232" s="6"/>
    </row>
    <row r="233" customFormat="false" ht="15" hidden="false" customHeight="false" outlineLevel="0" collapsed="false">
      <c r="A233" s="6"/>
      <c r="B233" s="6"/>
      <c r="C233" s="6"/>
      <c r="D233" s="6"/>
      <c r="E233" s="6"/>
      <c r="F233" s="6"/>
      <c r="G233" s="6"/>
    </row>
    <row r="234" customFormat="false" ht="15" hidden="false" customHeight="false" outlineLevel="0" collapsed="false">
      <c r="A234" s="6"/>
      <c r="B234" s="6"/>
      <c r="C234" s="6"/>
      <c r="D234" s="6"/>
      <c r="E234" s="6"/>
      <c r="F234" s="6"/>
      <c r="G234" s="6"/>
    </row>
    <row r="235" customFormat="false" ht="15" hidden="false" customHeight="false" outlineLevel="0" collapsed="false">
      <c r="A235" s="6"/>
      <c r="B235" s="6"/>
      <c r="C235" s="6"/>
      <c r="D235" s="6"/>
      <c r="E235" s="6"/>
      <c r="F235" s="6"/>
      <c r="G235" s="6"/>
    </row>
    <row r="236" customFormat="false" ht="15" hidden="false" customHeight="false" outlineLevel="0" collapsed="false">
      <c r="A236" s="6"/>
      <c r="B236" s="6"/>
      <c r="C236" s="6"/>
      <c r="D236" s="6"/>
      <c r="E236" s="6"/>
      <c r="F236" s="6"/>
      <c r="G236" s="6"/>
    </row>
    <row r="237" customFormat="false" ht="15" hidden="false" customHeight="false" outlineLevel="0" collapsed="false">
      <c r="A237" s="6"/>
      <c r="B237" s="6"/>
      <c r="C237" s="6"/>
      <c r="D237" s="6"/>
      <c r="E237" s="6"/>
      <c r="F237" s="6"/>
      <c r="G237" s="6"/>
    </row>
    <row r="238" customFormat="false" ht="15" hidden="false" customHeight="false" outlineLevel="0" collapsed="false">
      <c r="A238" s="6"/>
      <c r="B238" s="6"/>
      <c r="C238" s="6"/>
      <c r="D238" s="6"/>
      <c r="E238" s="6"/>
      <c r="F238" s="6"/>
      <c r="G238" s="6"/>
    </row>
    <row r="239" customFormat="false" ht="15" hidden="false" customHeight="false" outlineLevel="0" collapsed="false">
      <c r="A239" s="6"/>
      <c r="B239" s="6"/>
      <c r="C239" s="6"/>
      <c r="D239" s="6"/>
      <c r="E239" s="6"/>
      <c r="F239" s="6"/>
      <c r="G239" s="6"/>
    </row>
    <row r="240" customFormat="false" ht="15" hidden="false" customHeight="false" outlineLevel="0" collapsed="false">
      <c r="A240" s="6"/>
      <c r="B240" s="6"/>
      <c r="C240" s="6"/>
      <c r="D240" s="6"/>
      <c r="E240" s="6"/>
      <c r="F240" s="6"/>
      <c r="G240" s="6"/>
    </row>
    <row r="241" customFormat="false" ht="15" hidden="false" customHeight="false" outlineLevel="0" collapsed="false">
      <c r="A241" s="6"/>
      <c r="B241" s="6"/>
      <c r="C241" s="6"/>
      <c r="D241" s="6"/>
      <c r="E241" s="6"/>
      <c r="F241" s="6"/>
      <c r="G241" s="6"/>
    </row>
    <row r="242" customFormat="false" ht="15" hidden="false" customHeight="false" outlineLevel="0" collapsed="false">
      <c r="A242" s="6"/>
      <c r="B242" s="6"/>
      <c r="C242" s="6"/>
      <c r="D242" s="6"/>
      <c r="E242" s="6"/>
      <c r="F242" s="6"/>
      <c r="G242" s="6"/>
    </row>
    <row r="243" customFormat="false" ht="15" hidden="false" customHeight="false" outlineLevel="0" collapsed="false">
      <c r="A243" s="6"/>
      <c r="B243" s="6"/>
      <c r="C243" s="6"/>
      <c r="D243" s="6"/>
      <c r="E243" s="6"/>
      <c r="F243" s="6"/>
      <c r="G243" s="6"/>
    </row>
    <row r="244" customFormat="false" ht="15" hidden="false" customHeight="false" outlineLevel="0" collapsed="false">
      <c r="A244" s="6"/>
      <c r="B244" s="6"/>
      <c r="C244" s="6"/>
      <c r="D244" s="6"/>
      <c r="E244" s="6"/>
      <c r="F244" s="6"/>
      <c r="G244" s="6"/>
    </row>
    <row r="245" customFormat="false" ht="15" hidden="false" customHeight="false" outlineLevel="0" collapsed="false">
      <c r="A245" s="6"/>
      <c r="B245" s="6"/>
      <c r="C245" s="6"/>
      <c r="D245" s="6"/>
      <c r="E245" s="6"/>
      <c r="F245" s="6"/>
      <c r="G245" s="6"/>
    </row>
    <row r="246" customFormat="false" ht="15" hidden="false" customHeight="false" outlineLevel="0" collapsed="false">
      <c r="A246" s="6"/>
      <c r="B246" s="6"/>
      <c r="C246" s="6"/>
      <c r="D246" s="6"/>
      <c r="E246" s="6"/>
      <c r="F246" s="6"/>
      <c r="G246" s="6"/>
    </row>
    <row r="247" customFormat="false" ht="15" hidden="false" customHeight="false" outlineLevel="0" collapsed="false">
      <c r="A247" s="6"/>
      <c r="B247" s="6"/>
      <c r="C247" s="6"/>
      <c r="D247" s="6"/>
      <c r="E247" s="6"/>
      <c r="F247" s="6"/>
      <c r="G247" s="6"/>
    </row>
    <row r="248" customFormat="false" ht="15" hidden="false" customHeight="false" outlineLevel="0" collapsed="false">
      <c r="A248" s="6"/>
      <c r="B248" s="6"/>
      <c r="C248" s="6"/>
      <c r="D248" s="6"/>
      <c r="E248" s="6"/>
      <c r="F248" s="6"/>
      <c r="G248" s="6"/>
    </row>
    <row r="249" customFormat="false" ht="15" hidden="false" customHeight="false" outlineLevel="0" collapsed="false">
      <c r="A249" s="6"/>
      <c r="B249" s="6"/>
      <c r="C249" s="6"/>
      <c r="D249" s="6"/>
      <c r="E249" s="6"/>
      <c r="F249" s="6"/>
      <c r="G249" s="6"/>
    </row>
    <row r="250" customFormat="false" ht="15" hidden="false" customHeight="false" outlineLevel="0" collapsed="false">
      <c r="A250" s="6"/>
      <c r="B250" s="6"/>
      <c r="C250" s="6"/>
      <c r="D250" s="6"/>
      <c r="E250" s="6"/>
      <c r="F250" s="6"/>
      <c r="G250" s="6"/>
    </row>
    <row r="251" customFormat="false" ht="15" hidden="false" customHeight="false" outlineLevel="0" collapsed="false">
      <c r="A251" s="6"/>
      <c r="B251" s="6"/>
      <c r="C251" s="6"/>
      <c r="D251" s="6"/>
      <c r="E251" s="6"/>
      <c r="F251" s="6"/>
      <c r="G251" s="6"/>
    </row>
    <row r="252" customFormat="false" ht="15" hidden="false" customHeight="false" outlineLevel="0" collapsed="false">
      <c r="A252" s="6"/>
      <c r="B252" s="6"/>
      <c r="C252" s="6"/>
      <c r="D252" s="6"/>
      <c r="E252" s="6"/>
      <c r="F252" s="6"/>
      <c r="G252" s="6"/>
    </row>
    <row r="253" customFormat="false" ht="15" hidden="false" customHeight="false" outlineLevel="0" collapsed="false">
      <c r="A253" s="6"/>
      <c r="B253" s="6"/>
      <c r="C253" s="6"/>
      <c r="D253" s="6"/>
      <c r="E253" s="6"/>
      <c r="F253" s="6"/>
      <c r="G253" s="6"/>
    </row>
    <row r="254" customFormat="false" ht="15" hidden="false" customHeight="false" outlineLevel="0" collapsed="false">
      <c r="A254" s="6"/>
      <c r="B254" s="6"/>
      <c r="C254" s="6"/>
      <c r="D254" s="6"/>
      <c r="E254" s="6"/>
      <c r="F254" s="6"/>
      <c r="G254" s="6"/>
    </row>
    <row r="255" customFormat="false" ht="15" hidden="false" customHeight="false" outlineLevel="0" collapsed="false">
      <c r="A255" s="6"/>
      <c r="B255" s="6"/>
      <c r="C255" s="6"/>
      <c r="D255" s="6"/>
      <c r="E255" s="6"/>
      <c r="F255" s="6"/>
      <c r="G255" s="6"/>
    </row>
    <row r="256" customFormat="false" ht="15" hidden="false" customHeight="false" outlineLevel="0" collapsed="false">
      <c r="A256" s="6"/>
      <c r="B256" s="6"/>
      <c r="C256" s="6"/>
      <c r="D256" s="6"/>
      <c r="E256" s="6"/>
      <c r="F256" s="6"/>
      <c r="G256" s="6"/>
    </row>
    <row r="257" customFormat="false" ht="15" hidden="false" customHeight="false" outlineLevel="0" collapsed="false">
      <c r="A257" s="6"/>
      <c r="B257" s="6"/>
      <c r="C257" s="6"/>
      <c r="D257" s="6"/>
      <c r="E257" s="6"/>
      <c r="F257" s="6"/>
      <c r="G257" s="6"/>
    </row>
    <row r="258" customFormat="false" ht="15" hidden="false" customHeight="false" outlineLevel="0" collapsed="false">
      <c r="A258" s="6"/>
      <c r="B258" s="6"/>
      <c r="C258" s="6"/>
      <c r="D258" s="6"/>
      <c r="E258" s="6"/>
      <c r="F258" s="6"/>
      <c r="G258" s="6"/>
    </row>
    <row r="259" customFormat="false" ht="15" hidden="false" customHeight="false" outlineLevel="0" collapsed="false">
      <c r="A259" s="6"/>
      <c r="B259" s="6"/>
      <c r="C259" s="6"/>
      <c r="D259" s="6"/>
      <c r="E259" s="6"/>
      <c r="F259" s="6"/>
      <c r="G259" s="6"/>
    </row>
    <row r="260" customFormat="false" ht="15" hidden="false" customHeight="false" outlineLevel="0" collapsed="false">
      <c r="A260" s="6"/>
      <c r="B260" s="6"/>
      <c r="C260" s="6"/>
      <c r="D260" s="6"/>
      <c r="E260" s="6"/>
      <c r="F260" s="6"/>
      <c r="G260" s="6"/>
    </row>
    <row r="261" customFormat="false" ht="15" hidden="false" customHeight="false" outlineLevel="0" collapsed="false">
      <c r="A261" s="6"/>
      <c r="B261" s="6"/>
      <c r="C261" s="6"/>
      <c r="D261" s="6"/>
      <c r="E261" s="6"/>
      <c r="F261" s="6"/>
      <c r="G261" s="6"/>
    </row>
    <row r="262" customFormat="false" ht="15" hidden="false" customHeight="false" outlineLevel="0" collapsed="false">
      <c r="A262" s="6"/>
      <c r="B262" s="6"/>
      <c r="C262" s="6"/>
      <c r="D262" s="6"/>
      <c r="E262" s="6"/>
      <c r="F262" s="6"/>
      <c r="G262" s="6"/>
    </row>
    <row r="263" customFormat="false" ht="15" hidden="false" customHeight="false" outlineLevel="0" collapsed="false">
      <c r="A263" s="6"/>
      <c r="B263" s="6"/>
      <c r="C263" s="6"/>
      <c r="D263" s="6"/>
      <c r="E263" s="6"/>
      <c r="F263" s="6"/>
      <c r="G263" s="6"/>
    </row>
    <row r="264" customFormat="false" ht="15" hidden="false" customHeight="false" outlineLevel="0" collapsed="false">
      <c r="A264" s="6"/>
      <c r="B264" s="6"/>
      <c r="C264" s="6"/>
      <c r="D264" s="6"/>
      <c r="E264" s="6"/>
      <c r="F264" s="6"/>
      <c r="G264" s="6"/>
    </row>
    <row r="265" customFormat="false" ht="15" hidden="false" customHeight="false" outlineLevel="0" collapsed="false">
      <c r="A265" s="6"/>
      <c r="B265" s="6"/>
      <c r="C265" s="6"/>
      <c r="D265" s="6"/>
      <c r="E265" s="6"/>
      <c r="F265" s="6"/>
      <c r="G265" s="6"/>
    </row>
    <row r="266" customFormat="false" ht="15" hidden="false" customHeight="false" outlineLevel="0" collapsed="false">
      <c r="A266" s="6"/>
      <c r="B266" s="6"/>
      <c r="C266" s="6"/>
      <c r="D266" s="6"/>
      <c r="E266" s="6"/>
      <c r="F266" s="6"/>
      <c r="G266" s="6"/>
    </row>
    <row r="267" customFormat="false" ht="15" hidden="false" customHeight="false" outlineLevel="0" collapsed="false">
      <c r="A267" s="6"/>
      <c r="B267" s="6"/>
      <c r="C267" s="6"/>
      <c r="D267" s="6"/>
      <c r="E267" s="6"/>
      <c r="F267" s="6"/>
      <c r="G267" s="6"/>
    </row>
    <row r="268" customFormat="false" ht="15" hidden="false" customHeight="false" outlineLevel="0" collapsed="false">
      <c r="A268" s="6"/>
      <c r="B268" s="6"/>
      <c r="C268" s="6"/>
      <c r="D268" s="6"/>
      <c r="E268" s="6"/>
      <c r="F268" s="6"/>
      <c r="G268" s="6"/>
    </row>
    <row r="269" customFormat="false" ht="15" hidden="false" customHeight="false" outlineLevel="0" collapsed="false">
      <c r="A269" s="6"/>
      <c r="B269" s="6"/>
      <c r="C269" s="6"/>
      <c r="D269" s="6"/>
      <c r="E269" s="6"/>
      <c r="F269" s="6"/>
      <c r="G269" s="6"/>
    </row>
    <row r="270" customFormat="false" ht="15" hidden="false" customHeight="false" outlineLevel="0" collapsed="false">
      <c r="A270" s="6"/>
      <c r="B270" s="6"/>
      <c r="C270" s="6"/>
      <c r="D270" s="6"/>
      <c r="E270" s="6"/>
      <c r="F270" s="6"/>
      <c r="G270" s="6"/>
    </row>
    <row r="271" customFormat="false" ht="15" hidden="false" customHeight="false" outlineLevel="0" collapsed="false">
      <c r="A271" s="6"/>
      <c r="B271" s="6"/>
      <c r="C271" s="6"/>
      <c r="D271" s="6"/>
      <c r="E271" s="6"/>
      <c r="F271" s="6"/>
      <c r="G271" s="6"/>
    </row>
    <row r="272" customFormat="false" ht="15" hidden="false" customHeight="false" outlineLevel="0" collapsed="false">
      <c r="A272" s="6"/>
      <c r="B272" s="6"/>
      <c r="C272" s="6"/>
      <c r="D272" s="6"/>
      <c r="E272" s="6"/>
      <c r="F272" s="6"/>
      <c r="G272" s="6"/>
    </row>
    <row r="273" customFormat="false" ht="15" hidden="false" customHeight="false" outlineLevel="0" collapsed="false">
      <c r="A273" s="6"/>
      <c r="B273" s="6"/>
      <c r="C273" s="6"/>
      <c r="D273" s="6"/>
      <c r="E273" s="6"/>
      <c r="F273" s="6"/>
      <c r="G273" s="6"/>
    </row>
    <row r="274" customFormat="false" ht="15" hidden="false" customHeight="false" outlineLevel="0" collapsed="false">
      <c r="A274" s="6"/>
      <c r="B274" s="6"/>
      <c r="C274" s="6"/>
      <c r="D274" s="6"/>
      <c r="E274" s="6"/>
      <c r="F274" s="6"/>
      <c r="G274" s="6"/>
    </row>
    <row r="275" customFormat="false" ht="15" hidden="false" customHeight="false" outlineLevel="0" collapsed="false">
      <c r="A275" s="6"/>
      <c r="B275" s="6"/>
      <c r="C275" s="6"/>
      <c r="D275" s="6"/>
      <c r="E275" s="6"/>
      <c r="F275" s="6"/>
      <c r="G275" s="6"/>
    </row>
    <row r="276" customFormat="false" ht="15" hidden="false" customHeight="false" outlineLevel="0" collapsed="false">
      <c r="A276" s="6"/>
      <c r="B276" s="6"/>
      <c r="C276" s="6"/>
      <c r="D276" s="6"/>
      <c r="E276" s="6"/>
      <c r="F276" s="6"/>
      <c r="G276" s="6"/>
    </row>
    <row r="277" customFormat="false" ht="15" hidden="false" customHeight="false" outlineLevel="0" collapsed="false">
      <c r="A277" s="6"/>
      <c r="B277" s="6"/>
      <c r="C277" s="6"/>
      <c r="D277" s="6"/>
      <c r="E277" s="6"/>
      <c r="F277" s="6"/>
      <c r="G277" s="6"/>
    </row>
    <row r="278" customFormat="false" ht="15" hidden="false" customHeight="false" outlineLevel="0" collapsed="false">
      <c r="A278" s="6"/>
      <c r="B278" s="6"/>
      <c r="C278" s="6"/>
      <c r="D278" s="6"/>
      <c r="E278" s="6"/>
      <c r="F278" s="6"/>
      <c r="G278" s="6"/>
    </row>
    <row r="279" customFormat="false" ht="15" hidden="false" customHeight="false" outlineLevel="0" collapsed="false">
      <c r="A279" s="6"/>
      <c r="B279" s="6"/>
      <c r="C279" s="6"/>
      <c r="D279" s="6"/>
      <c r="E279" s="6"/>
      <c r="F279" s="6"/>
      <c r="G279" s="6"/>
    </row>
    <row r="280" customFormat="false" ht="15" hidden="false" customHeight="false" outlineLevel="0" collapsed="false">
      <c r="A280" s="6"/>
      <c r="B280" s="6"/>
      <c r="C280" s="6"/>
      <c r="D280" s="6"/>
      <c r="E280" s="6"/>
      <c r="F280" s="6"/>
      <c r="G280" s="6"/>
    </row>
    <row r="281" customFormat="false" ht="15" hidden="false" customHeight="false" outlineLevel="0" collapsed="false">
      <c r="A281" s="6"/>
      <c r="B281" s="6"/>
      <c r="C281" s="6"/>
      <c r="D281" s="6"/>
      <c r="E281" s="6"/>
      <c r="F281" s="6"/>
      <c r="G281" s="6"/>
    </row>
    <row r="282" customFormat="false" ht="15" hidden="false" customHeight="false" outlineLevel="0" collapsed="false">
      <c r="A282" s="6"/>
      <c r="B282" s="6"/>
      <c r="C282" s="6"/>
      <c r="D282" s="6"/>
      <c r="E282" s="6"/>
      <c r="F282" s="6"/>
      <c r="G282" s="6"/>
    </row>
    <row r="283" customFormat="false" ht="15" hidden="false" customHeight="false" outlineLevel="0" collapsed="false">
      <c r="A283" s="6"/>
      <c r="B283" s="6"/>
      <c r="C283" s="6"/>
      <c r="D283" s="6"/>
      <c r="E283" s="6"/>
      <c r="F283" s="6"/>
      <c r="G283" s="6"/>
    </row>
    <row r="284" customFormat="false" ht="15" hidden="false" customHeight="false" outlineLevel="0" collapsed="false">
      <c r="A284" s="6"/>
      <c r="B284" s="6"/>
      <c r="C284" s="6"/>
      <c r="D284" s="6"/>
      <c r="E284" s="6"/>
      <c r="F284" s="6"/>
      <c r="G284" s="6"/>
    </row>
    <row r="285" customFormat="false" ht="15" hidden="false" customHeight="false" outlineLevel="0" collapsed="false">
      <c r="A285" s="6"/>
      <c r="B285" s="6"/>
      <c r="C285" s="6"/>
      <c r="D285" s="6"/>
      <c r="E285" s="6"/>
      <c r="F285" s="6"/>
      <c r="G285" s="6"/>
    </row>
    <row r="286" customFormat="false" ht="15" hidden="false" customHeight="false" outlineLevel="0" collapsed="false">
      <c r="A286" s="6"/>
      <c r="B286" s="6"/>
      <c r="C286" s="6"/>
      <c r="D286" s="6"/>
      <c r="E286" s="6"/>
      <c r="F286" s="6"/>
      <c r="G286" s="6"/>
    </row>
    <row r="287" customFormat="false" ht="15" hidden="false" customHeight="false" outlineLevel="0" collapsed="false">
      <c r="A287" s="6"/>
      <c r="B287" s="6"/>
      <c r="C287" s="6"/>
      <c r="D287" s="6"/>
      <c r="E287" s="6"/>
      <c r="F287" s="6"/>
      <c r="G287" s="6"/>
    </row>
    <row r="288" customFormat="false" ht="15" hidden="false" customHeight="false" outlineLevel="0" collapsed="false">
      <c r="A288" s="6"/>
      <c r="B288" s="6"/>
      <c r="C288" s="6"/>
      <c r="D288" s="6"/>
      <c r="E288" s="6"/>
      <c r="F288" s="6"/>
      <c r="G288" s="6"/>
    </row>
    <row r="289" customFormat="false" ht="15" hidden="false" customHeight="false" outlineLevel="0" collapsed="false">
      <c r="A289" s="6"/>
      <c r="B289" s="6"/>
      <c r="C289" s="6"/>
      <c r="D289" s="6"/>
      <c r="E289" s="6"/>
      <c r="F289" s="6"/>
      <c r="G289" s="6"/>
    </row>
    <row r="290" customFormat="false" ht="15" hidden="false" customHeight="false" outlineLevel="0" collapsed="false">
      <c r="A290" s="6"/>
      <c r="B290" s="6"/>
      <c r="C290" s="6"/>
      <c r="D290" s="6"/>
      <c r="E290" s="6"/>
      <c r="F290" s="6"/>
      <c r="G290" s="6"/>
    </row>
    <row r="291" customFormat="false" ht="15" hidden="false" customHeight="false" outlineLevel="0" collapsed="false">
      <c r="A291" s="6"/>
      <c r="B291" s="6"/>
      <c r="C291" s="6"/>
      <c r="D291" s="6"/>
      <c r="E291" s="6"/>
      <c r="F291" s="6"/>
      <c r="G291" s="6"/>
    </row>
    <row r="292" customFormat="false" ht="15" hidden="false" customHeight="false" outlineLevel="0" collapsed="false">
      <c r="A292" s="6"/>
      <c r="B292" s="6"/>
      <c r="C292" s="6"/>
      <c r="D292" s="6"/>
      <c r="E292" s="6"/>
      <c r="F292" s="6"/>
      <c r="G292" s="6"/>
    </row>
    <row r="293" customFormat="false" ht="15" hidden="false" customHeight="false" outlineLevel="0" collapsed="false">
      <c r="A293" s="6"/>
      <c r="B293" s="6"/>
      <c r="C293" s="6"/>
      <c r="D293" s="6"/>
      <c r="E293" s="6"/>
      <c r="F293" s="6"/>
      <c r="G293" s="6"/>
    </row>
    <row r="294" customFormat="false" ht="15" hidden="false" customHeight="false" outlineLevel="0" collapsed="false">
      <c r="A294" s="6"/>
      <c r="B294" s="6"/>
      <c r="C294" s="6"/>
      <c r="D294" s="6"/>
      <c r="E294" s="6"/>
      <c r="F294" s="6"/>
      <c r="G294" s="6"/>
    </row>
    <row r="295" customFormat="false" ht="15" hidden="false" customHeight="false" outlineLevel="0" collapsed="false">
      <c r="A295" s="6"/>
      <c r="B295" s="6"/>
      <c r="C295" s="6"/>
      <c r="D295" s="6"/>
      <c r="E295" s="6"/>
      <c r="F295" s="6"/>
      <c r="G295" s="6"/>
    </row>
    <row r="296" customFormat="false" ht="15" hidden="false" customHeight="false" outlineLevel="0" collapsed="false">
      <c r="A296" s="6"/>
      <c r="B296" s="6"/>
      <c r="C296" s="6"/>
      <c r="D296" s="6"/>
      <c r="E296" s="6"/>
      <c r="F296" s="6"/>
      <c r="G296" s="6"/>
    </row>
    <row r="297" customFormat="false" ht="15" hidden="false" customHeight="false" outlineLevel="0" collapsed="false">
      <c r="A297" s="6"/>
      <c r="B297" s="6"/>
      <c r="C297" s="6"/>
      <c r="D297" s="6"/>
      <c r="E297" s="6"/>
      <c r="F297" s="6"/>
      <c r="G297" s="6"/>
    </row>
    <row r="298" customFormat="false" ht="15" hidden="false" customHeight="false" outlineLevel="0" collapsed="false">
      <c r="A298" s="6"/>
      <c r="B298" s="6"/>
      <c r="C298" s="6"/>
      <c r="D298" s="6"/>
      <c r="E298" s="6"/>
      <c r="F298" s="6"/>
      <c r="G298" s="6"/>
    </row>
    <row r="299" customFormat="false" ht="15" hidden="false" customHeight="false" outlineLevel="0" collapsed="false">
      <c r="A299" s="6"/>
      <c r="B299" s="6"/>
      <c r="C299" s="6"/>
      <c r="D299" s="6"/>
      <c r="E299" s="6"/>
      <c r="F299" s="6"/>
      <c r="G299" s="6"/>
    </row>
    <row r="300" customFormat="false" ht="15" hidden="false" customHeight="false" outlineLevel="0" collapsed="false">
      <c r="A300" s="6"/>
      <c r="B300" s="6"/>
      <c r="C300" s="6"/>
      <c r="D300" s="6"/>
      <c r="E300" s="6"/>
      <c r="F300" s="6"/>
      <c r="G300" s="6"/>
    </row>
    <row r="301" customFormat="false" ht="15" hidden="false" customHeight="false" outlineLevel="0" collapsed="false">
      <c r="A301" s="6"/>
      <c r="B301" s="6"/>
      <c r="C301" s="6"/>
      <c r="D301" s="6"/>
      <c r="E301" s="6"/>
      <c r="F301" s="6"/>
      <c r="G301" s="6"/>
    </row>
    <row r="302" customFormat="false" ht="15" hidden="false" customHeight="false" outlineLevel="0" collapsed="false">
      <c r="A302" s="6"/>
      <c r="B302" s="6"/>
      <c r="C302" s="6"/>
      <c r="D302" s="6"/>
      <c r="E302" s="6"/>
      <c r="F302" s="6"/>
      <c r="G302" s="6"/>
    </row>
    <row r="303" customFormat="false" ht="15" hidden="false" customHeight="false" outlineLevel="0" collapsed="false">
      <c r="A303" s="6"/>
      <c r="B303" s="6"/>
      <c r="C303" s="6"/>
      <c r="D303" s="6"/>
      <c r="E303" s="6"/>
      <c r="F303" s="6"/>
      <c r="G303" s="6"/>
    </row>
    <row r="304" customFormat="false" ht="15" hidden="false" customHeight="false" outlineLevel="0" collapsed="false">
      <c r="A304" s="6"/>
      <c r="B304" s="6"/>
      <c r="C304" s="6"/>
      <c r="D304" s="6"/>
      <c r="E304" s="6"/>
      <c r="F304" s="6"/>
      <c r="G304" s="6"/>
    </row>
    <row r="305" customFormat="false" ht="15" hidden="false" customHeight="false" outlineLevel="0" collapsed="false">
      <c r="A305" s="6"/>
      <c r="B305" s="6"/>
      <c r="C305" s="6"/>
      <c r="D305" s="6"/>
      <c r="E305" s="6"/>
      <c r="F305" s="6"/>
      <c r="G305" s="6"/>
    </row>
    <row r="306" customFormat="false" ht="15" hidden="false" customHeight="false" outlineLevel="0" collapsed="false">
      <c r="A306" s="6"/>
      <c r="B306" s="6"/>
      <c r="C306" s="6"/>
      <c r="D306" s="6"/>
      <c r="E306" s="6"/>
      <c r="F306" s="6"/>
      <c r="G306" s="6"/>
    </row>
    <row r="307" customFormat="false" ht="15" hidden="false" customHeight="false" outlineLevel="0" collapsed="false">
      <c r="A307" s="6"/>
      <c r="B307" s="6"/>
      <c r="C307" s="6"/>
      <c r="D307" s="6"/>
      <c r="E307" s="6"/>
      <c r="F307" s="6"/>
      <c r="G307" s="6"/>
    </row>
    <row r="308" customFormat="false" ht="15" hidden="false" customHeight="false" outlineLevel="0" collapsed="false">
      <c r="A308" s="6"/>
      <c r="B308" s="6"/>
      <c r="C308" s="6"/>
      <c r="D308" s="6"/>
      <c r="E308" s="6"/>
      <c r="F308" s="6"/>
      <c r="G308" s="6"/>
    </row>
    <row r="309" customFormat="false" ht="15" hidden="false" customHeight="false" outlineLevel="0" collapsed="false">
      <c r="A309" s="6"/>
      <c r="B309" s="6"/>
      <c r="C309" s="6"/>
      <c r="D309" s="6"/>
      <c r="E309" s="6"/>
      <c r="F309" s="6"/>
      <c r="G309" s="6"/>
    </row>
    <row r="310" customFormat="false" ht="15" hidden="false" customHeight="false" outlineLevel="0" collapsed="false">
      <c r="A310" s="6"/>
      <c r="B310" s="6"/>
      <c r="C310" s="6"/>
      <c r="D310" s="6"/>
      <c r="E310" s="6"/>
      <c r="F310" s="6"/>
      <c r="G310" s="6"/>
    </row>
    <row r="311" customFormat="false" ht="15" hidden="false" customHeight="false" outlineLevel="0" collapsed="false">
      <c r="A311" s="6"/>
      <c r="B311" s="6"/>
      <c r="C311" s="6"/>
      <c r="D311" s="6"/>
      <c r="E311" s="6"/>
      <c r="F311" s="6"/>
      <c r="G311" s="6"/>
    </row>
    <row r="312" customFormat="false" ht="15" hidden="false" customHeight="false" outlineLevel="0" collapsed="false">
      <c r="A312" s="6"/>
      <c r="B312" s="6"/>
      <c r="C312" s="6"/>
      <c r="D312" s="6"/>
      <c r="E312" s="6"/>
      <c r="F312" s="6"/>
      <c r="G312" s="6"/>
    </row>
    <row r="313" customFormat="false" ht="15" hidden="false" customHeight="false" outlineLevel="0" collapsed="false">
      <c r="A313" s="6"/>
      <c r="B313" s="6"/>
      <c r="C313" s="6"/>
      <c r="D313" s="6"/>
      <c r="E313" s="6"/>
      <c r="F313" s="6"/>
      <c r="G313" s="6"/>
    </row>
    <row r="314" customFormat="false" ht="15" hidden="false" customHeight="false" outlineLevel="0" collapsed="false">
      <c r="A314" s="6"/>
      <c r="B314" s="6"/>
      <c r="C314" s="6"/>
      <c r="D314" s="6"/>
      <c r="E314" s="6"/>
      <c r="F314" s="6"/>
      <c r="G314" s="6"/>
    </row>
    <row r="315" customFormat="false" ht="15" hidden="false" customHeight="false" outlineLevel="0" collapsed="false">
      <c r="A315" s="6"/>
      <c r="B315" s="6"/>
      <c r="C315" s="6"/>
      <c r="D315" s="6"/>
      <c r="E315" s="6"/>
      <c r="F315" s="6"/>
      <c r="G315" s="6"/>
    </row>
    <row r="316" customFormat="false" ht="15" hidden="false" customHeight="false" outlineLevel="0" collapsed="false">
      <c r="A316" s="6"/>
      <c r="B316" s="6"/>
      <c r="C316" s="6"/>
      <c r="D316" s="6"/>
      <c r="E316" s="6"/>
      <c r="F316" s="6"/>
      <c r="G316" s="6"/>
    </row>
    <row r="317" customFormat="false" ht="15" hidden="false" customHeight="false" outlineLevel="0" collapsed="false">
      <c r="A317" s="6"/>
      <c r="B317" s="6"/>
      <c r="C317" s="6"/>
      <c r="D317" s="6"/>
      <c r="E317" s="6"/>
      <c r="F317" s="6"/>
      <c r="G317" s="6"/>
    </row>
    <row r="318" customFormat="false" ht="15" hidden="false" customHeight="false" outlineLevel="0" collapsed="false">
      <c r="A318" s="6"/>
      <c r="B318" s="6"/>
      <c r="C318" s="6"/>
      <c r="D318" s="6"/>
      <c r="E318" s="6"/>
      <c r="F318" s="6"/>
      <c r="G318" s="6"/>
    </row>
    <row r="319" customFormat="false" ht="15" hidden="false" customHeight="false" outlineLevel="0" collapsed="false">
      <c r="A319" s="6"/>
      <c r="B319" s="6"/>
      <c r="C319" s="6"/>
      <c r="D319" s="6"/>
      <c r="E319" s="6"/>
      <c r="F319" s="6"/>
      <c r="G319" s="6"/>
    </row>
    <row r="320" customFormat="false" ht="15" hidden="false" customHeight="false" outlineLevel="0" collapsed="false">
      <c r="A320" s="6"/>
      <c r="B320" s="6"/>
      <c r="C320" s="6"/>
      <c r="D320" s="6"/>
      <c r="E320" s="6"/>
      <c r="F320" s="6"/>
      <c r="G320" s="6"/>
    </row>
    <row r="321" customFormat="false" ht="15" hidden="false" customHeight="false" outlineLevel="0" collapsed="false">
      <c r="A321" s="6"/>
      <c r="B321" s="6"/>
      <c r="C321" s="6"/>
      <c r="D321" s="6"/>
      <c r="E321" s="6"/>
      <c r="F321" s="6"/>
      <c r="G321" s="6"/>
    </row>
    <row r="322" customFormat="false" ht="15" hidden="false" customHeight="false" outlineLevel="0" collapsed="false">
      <c r="A322" s="6"/>
      <c r="B322" s="6"/>
      <c r="C322" s="6"/>
      <c r="D322" s="6"/>
      <c r="E322" s="6"/>
      <c r="F322" s="6"/>
      <c r="G322" s="6"/>
    </row>
    <row r="323" customFormat="false" ht="15" hidden="false" customHeight="false" outlineLevel="0" collapsed="false">
      <c r="A323" s="6"/>
      <c r="B323" s="6"/>
      <c r="C323" s="6"/>
      <c r="D323" s="6"/>
      <c r="E323" s="6"/>
      <c r="F323" s="6"/>
      <c r="G323" s="6"/>
    </row>
    <row r="324" customFormat="false" ht="15" hidden="false" customHeight="false" outlineLevel="0" collapsed="false">
      <c r="A324" s="6"/>
      <c r="B324" s="6"/>
      <c r="C324" s="6"/>
      <c r="D324" s="6"/>
      <c r="E324" s="6"/>
      <c r="F324" s="6"/>
      <c r="G324" s="6"/>
    </row>
    <row r="325" customFormat="false" ht="15" hidden="false" customHeight="false" outlineLevel="0" collapsed="false">
      <c r="A325" s="6"/>
      <c r="B325" s="6"/>
      <c r="C325" s="6"/>
      <c r="D325" s="6"/>
      <c r="E325" s="6"/>
      <c r="F325" s="6"/>
      <c r="G325" s="6"/>
    </row>
    <row r="326" customFormat="false" ht="15" hidden="false" customHeight="false" outlineLevel="0" collapsed="false">
      <c r="A326" s="6"/>
      <c r="B326" s="6"/>
      <c r="C326" s="6"/>
      <c r="D326" s="6"/>
      <c r="E326" s="6"/>
      <c r="F326" s="6"/>
      <c r="G326" s="6"/>
    </row>
    <row r="327" customFormat="false" ht="15" hidden="false" customHeight="false" outlineLevel="0" collapsed="false">
      <c r="A327" s="6"/>
      <c r="B327" s="6"/>
      <c r="C327" s="6"/>
      <c r="D327" s="6"/>
      <c r="E327" s="6"/>
      <c r="F327" s="6"/>
      <c r="G327" s="6"/>
    </row>
    <row r="328" customFormat="false" ht="15" hidden="false" customHeight="false" outlineLevel="0" collapsed="false">
      <c r="A328" s="6"/>
      <c r="B328" s="6"/>
      <c r="C328" s="6"/>
      <c r="D328" s="6"/>
      <c r="E328" s="6"/>
      <c r="F328" s="6"/>
      <c r="G328" s="6"/>
    </row>
    <row r="329" customFormat="false" ht="15" hidden="false" customHeight="false" outlineLevel="0" collapsed="false">
      <c r="A329" s="6"/>
      <c r="B329" s="6"/>
      <c r="C329" s="6"/>
      <c r="D329" s="6"/>
      <c r="E329" s="6"/>
      <c r="F329" s="6"/>
      <c r="G329" s="6"/>
    </row>
    <row r="330" customFormat="false" ht="15" hidden="false" customHeight="false" outlineLevel="0" collapsed="false">
      <c r="A330" s="6"/>
      <c r="B330" s="6"/>
      <c r="C330" s="6"/>
      <c r="D330" s="6"/>
      <c r="E330" s="6"/>
      <c r="F330" s="6"/>
      <c r="G330" s="6"/>
    </row>
    <row r="331" customFormat="false" ht="15" hidden="false" customHeight="false" outlineLevel="0" collapsed="false">
      <c r="A331" s="6"/>
      <c r="B331" s="6"/>
      <c r="C331" s="6"/>
      <c r="D331" s="6"/>
      <c r="E331" s="6"/>
      <c r="F331" s="6"/>
      <c r="G331" s="6"/>
    </row>
    <row r="332" customFormat="false" ht="15" hidden="false" customHeight="false" outlineLevel="0" collapsed="false">
      <c r="A332" s="6"/>
      <c r="B332" s="6"/>
      <c r="C332" s="6"/>
      <c r="D332" s="6"/>
      <c r="E332" s="6"/>
      <c r="F332" s="6"/>
      <c r="G332" s="6"/>
    </row>
    <row r="333" customFormat="false" ht="15" hidden="false" customHeight="false" outlineLevel="0" collapsed="false">
      <c r="A333" s="6"/>
      <c r="B333" s="6"/>
      <c r="C333" s="6"/>
      <c r="D333" s="6"/>
      <c r="E333" s="6"/>
      <c r="F333" s="6"/>
      <c r="G333" s="6"/>
    </row>
    <row r="334" customFormat="false" ht="15" hidden="false" customHeight="false" outlineLevel="0" collapsed="false">
      <c r="A334" s="6"/>
      <c r="B334" s="6"/>
      <c r="C334" s="6"/>
      <c r="D334" s="6"/>
      <c r="E334" s="6"/>
      <c r="F334" s="6"/>
      <c r="G334" s="6"/>
    </row>
    <row r="335" customFormat="false" ht="15" hidden="false" customHeight="false" outlineLevel="0" collapsed="false">
      <c r="A335" s="6"/>
      <c r="B335" s="6"/>
      <c r="C335" s="6"/>
      <c r="D335" s="6"/>
      <c r="E335" s="6"/>
      <c r="F335" s="6"/>
      <c r="G335" s="6"/>
    </row>
    <row r="336" customFormat="false" ht="15" hidden="false" customHeight="false" outlineLevel="0" collapsed="false">
      <c r="A336" s="6"/>
      <c r="B336" s="6"/>
      <c r="C336" s="6"/>
      <c r="D336" s="6"/>
      <c r="E336" s="6"/>
      <c r="F336" s="6"/>
      <c r="G336" s="6"/>
    </row>
    <row r="337" customFormat="false" ht="15" hidden="false" customHeight="false" outlineLevel="0" collapsed="false">
      <c r="A337" s="6"/>
      <c r="B337" s="6"/>
      <c r="C337" s="6"/>
      <c r="D337" s="6"/>
      <c r="E337" s="6"/>
      <c r="F337" s="6"/>
      <c r="G337" s="6"/>
    </row>
    <row r="338" customFormat="false" ht="15" hidden="false" customHeight="false" outlineLevel="0" collapsed="false">
      <c r="A338" s="6"/>
      <c r="B338" s="6"/>
      <c r="C338" s="6"/>
      <c r="D338" s="6"/>
      <c r="E338" s="6"/>
      <c r="F338" s="6"/>
      <c r="G338" s="6"/>
    </row>
    <row r="339" customFormat="false" ht="15" hidden="false" customHeight="false" outlineLevel="0" collapsed="false">
      <c r="A339" s="6"/>
      <c r="B339" s="6"/>
      <c r="C339" s="6"/>
      <c r="D339" s="6"/>
      <c r="E339" s="6"/>
      <c r="F339" s="6"/>
      <c r="G339" s="6"/>
    </row>
    <row r="340" customFormat="false" ht="15" hidden="false" customHeight="false" outlineLevel="0" collapsed="false">
      <c r="A340" s="6"/>
      <c r="B340" s="6"/>
      <c r="C340" s="6"/>
      <c r="D340" s="6"/>
      <c r="E340" s="6"/>
      <c r="F340" s="6"/>
      <c r="G340" s="6"/>
    </row>
    <row r="341" customFormat="false" ht="15" hidden="false" customHeight="false" outlineLevel="0" collapsed="false">
      <c r="A341" s="6"/>
      <c r="B341" s="6"/>
      <c r="C341" s="6"/>
      <c r="D341" s="6"/>
      <c r="E341" s="6"/>
      <c r="F341" s="6"/>
      <c r="G341" s="6"/>
    </row>
    <row r="342" customFormat="false" ht="15" hidden="false" customHeight="false" outlineLevel="0" collapsed="false">
      <c r="A342" s="6"/>
      <c r="B342" s="6"/>
      <c r="C342" s="6"/>
      <c r="D342" s="6"/>
      <c r="E342" s="6"/>
      <c r="F342" s="6"/>
      <c r="G342" s="6"/>
    </row>
    <row r="343" customFormat="false" ht="15" hidden="false" customHeight="false" outlineLevel="0" collapsed="false">
      <c r="A343" s="6"/>
      <c r="B343" s="6"/>
      <c r="C343" s="6"/>
      <c r="D343" s="6"/>
      <c r="E343" s="6"/>
      <c r="F343" s="6"/>
      <c r="G343" s="6"/>
    </row>
    <row r="344" customFormat="false" ht="15" hidden="false" customHeight="false" outlineLevel="0" collapsed="false">
      <c r="A344" s="6"/>
      <c r="B344" s="6"/>
      <c r="C344" s="6"/>
      <c r="D344" s="6"/>
      <c r="E344" s="6"/>
      <c r="F344" s="6"/>
      <c r="G344" s="6"/>
    </row>
    <row r="345" customFormat="false" ht="15" hidden="false" customHeight="false" outlineLevel="0" collapsed="false">
      <c r="A345" s="6"/>
      <c r="B345" s="6"/>
      <c r="C345" s="6"/>
      <c r="D345" s="6"/>
      <c r="E345" s="6"/>
      <c r="F345" s="6"/>
      <c r="G345" s="6"/>
    </row>
    <row r="346" customFormat="false" ht="15" hidden="false" customHeight="false" outlineLevel="0" collapsed="false">
      <c r="A346" s="6"/>
      <c r="B346" s="6"/>
      <c r="C346" s="6"/>
      <c r="D346" s="6"/>
      <c r="E346" s="6"/>
      <c r="F346" s="6"/>
      <c r="G346" s="6"/>
    </row>
    <row r="347" customFormat="false" ht="15" hidden="false" customHeight="false" outlineLevel="0" collapsed="false">
      <c r="A347" s="6"/>
      <c r="B347" s="6"/>
      <c r="C347" s="6"/>
      <c r="D347" s="6"/>
      <c r="E347" s="6"/>
      <c r="F347" s="6"/>
      <c r="G347" s="6"/>
    </row>
    <row r="348" customFormat="false" ht="15" hidden="false" customHeight="false" outlineLevel="0" collapsed="false">
      <c r="A348" s="6"/>
      <c r="B348" s="6"/>
      <c r="C348" s="6"/>
      <c r="D348" s="6"/>
      <c r="E348" s="6"/>
      <c r="F348" s="6"/>
      <c r="G348" s="6"/>
    </row>
    <row r="349" customFormat="false" ht="15" hidden="false" customHeight="false" outlineLevel="0" collapsed="false">
      <c r="A349" s="6"/>
      <c r="B349" s="6"/>
      <c r="C349" s="6"/>
      <c r="D349" s="6"/>
      <c r="E349" s="6"/>
      <c r="F349" s="6"/>
      <c r="G349" s="6"/>
    </row>
    <row r="350" customFormat="false" ht="15" hidden="false" customHeight="false" outlineLevel="0" collapsed="false">
      <c r="A350" s="6"/>
      <c r="B350" s="6"/>
      <c r="C350" s="6"/>
      <c r="D350" s="6"/>
      <c r="E350" s="6"/>
      <c r="F350" s="6"/>
      <c r="G350" s="6"/>
    </row>
    <row r="351" customFormat="false" ht="15" hidden="false" customHeight="false" outlineLevel="0" collapsed="false">
      <c r="A351" s="6"/>
      <c r="B351" s="6"/>
      <c r="C351" s="6"/>
      <c r="D351" s="6"/>
      <c r="E351" s="6"/>
      <c r="F351" s="6"/>
      <c r="G351" s="6"/>
    </row>
    <row r="352" customFormat="false" ht="15" hidden="false" customHeight="false" outlineLevel="0" collapsed="false">
      <c r="A352" s="6"/>
      <c r="B352" s="6"/>
      <c r="C352" s="6"/>
      <c r="D352" s="6"/>
      <c r="E352" s="6"/>
      <c r="F352" s="6"/>
      <c r="G352" s="6"/>
    </row>
    <row r="353" customFormat="false" ht="15" hidden="false" customHeight="false" outlineLevel="0" collapsed="false">
      <c r="A353" s="6"/>
      <c r="B353" s="6"/>
      <c r="C353" s="6"/>
      <c r="D353" s="6"/>
      <c r="E353" s="6"/>
      <c r="F353" s="6"/>
      <c r="G353" s="6"/>
    </row>
    <row r="354" customFormat="false" ht="15" hidden="false" customHeight="false" outlineLevel="0" collapsed="false">
      <c r="A354" s="6"/>
      <c r="B354" s="6"/>
      <c r="C354" s="6"/>
      <c r="D354" s="6"/>
      <c r="E354" s="6"/>
      <c r="F354" s="6"/>
      <c r="G354" s="6"/>
    </row>
    <row r="355" customFormat="false" ht="15" hidden="false" customHeight="false" outlineLevel="0" collapsed="false">
      <c r="A355" s="6"/>
      <c r="B355" s="6"/>
      <c r="C355" s="6"/>
      <c r="D355" s="6"/>
      <c r="E355" s="6"/>
      <c r="F355" s="6"/>
      <c r="G355" s="6"/>
    </row>
    <row r="356" customFormat="false" ht="15" hidden="false" customHeight="false" outlineLevel="0" collapsed="false">
      <c r="A356" s="6"/>
      <c r="B356" s="6"/>
      <c r="C356" s="6"/>
      <c r="D356" s="6"/>
      <c r="E356" s="6"/>
      <c r="F356" s="6"/>
      <c r="G356" s="6"/>
    </row>
    <row r="357" customFormat="false" ht="15" hidden="false" customHeight="false" outlineLevel="0" collapsed="false">
      <c r="A357" s="6"/>
      <c r="B357" s="6"/>
      <c r="C357" s="6"/>
      <c r="D357" s="6"/>
      <c r="E357" s="6"/>
      <c r="F357" s="6"/>
      <c r="G357" s="6"/>
    </row>
    <row r="358" customFormat="false" ht="15" hidden="false" customHeight="false" outlineLevel="0" collapsed="false">
      <c r="A358" s="6"/>
      <c r="B358" s="6"/>
      <c r="C358" s="6"/>
      <c r="D358" s="6"/>
      <c r="E358" s="6"/>
      <c r="F358" s="6"/>
      <c r="G358" s="6"/>
    </row>
    <row r="359" customFormat="false" ht="15" hidden="false" customHeight="false" outlineLevel="0" collapsed="false">
      <c r="A359" s="6"/>
      <c r="B359" s="6"/>
      <c r="C359" s="6"/>
      <c r="D359" s="6"/>
      <c r="E359" s="6"/>
      <c r="F359" s="6"/>
      <c r="G359" s="6"/>
    </row>
    <row r="360" customFormat="false" ht="15" hidden="false" customHeight="false" outlineLevel="0" collapsed="false">
      <c r="A360" s="6"/>
      <c r="B360" s="6"/>
      <c r="C360" s="6"/>
      <c r="D360" s="6"/>
      <c r="E360" s="6"/>
      <c r="F360" s="6"/>
      <c r="G360" s="6"/>
    </row>
    <row r="361" customFormat="false" ht="15" hidden="false" customHeight="false" outlineLevel="0" collapsed="false">
      <c r="A361" s="6"/>
      <c r="B361" s="6"/>
      <c r="C361" s="6"/>
      <c r="D361" s="6"/>
      <c r="E361" s="6"/>
      <c r="F361" s="6"/>
      <c r="G361" s="6"/>
    </row>
    <row r="362" customFormat="false" ht="15" hidden="false" customHeight="false" outlineLevel="0" collapsed="false">
      <c r="A362" s="6"/>
      <c r="B362" s="6"/>
      <c r="C362" s="6"/>
      <c r="D362" s="6"/>
      <c r="E362" s="6"/>
      <c r="F362" s="6"/>
      <c r="G362" s="6"/>
    </row>
    <row r="363" customFormat="false" ht="15" hidden="false" customHeight="false" outlineLevel="0" collapsed="false">
      <c r="A363" s="6"/>
      <c r="B363" s="6"/>
      <c r="C363" s="6"/>
      <c r="D363" s="6"/>
      <c r="E363" s="6"/>
      <c r="F363" s="6"/>
      <c r="G363" s="6"/>
    </row>
    <row r="364" customFormat="false" ht="15" hidden="false" customHeight="false" outlineLevel="0" collapsed="false">
      <c r="A364" s="6"/>
      <c r="B364" s="6"/>
      <c r="C364" s="6"/>
      <c r="D364" s="6"/>
      <c r="E364" s="6"/>
      <c r="F364" s="6"/>
      <c r="G364" s="6"/>
    </row>
    <row r="365" customFormat="false" ht="15" hidden="false" customHeight="false" outlineLevel="0" collapsed="false">
      <c r="A365" s="6"/>
      <c r="B365" s="6"/>
      <c r="C365" s="6"/>
      <c r="D365" s="6"/>
      <c r="E365" s="6"/>
      <c r="F365" s="6"/>
      <c r="G365" s="6"/>
    </row>
    <row r="366" customFormat="false" ht="15" hidden="false" customHeight="false" outlineLevel="0" collapsed="false">
      <c r="A366" s="6"/>
      <c r="B366" s="6"/>
      <c r="C366" s="6"/>
      <c r="D366" s="6"/>
      <c r="E366" s="6"/>
      <c r="F366" s="6"/>
      <c r="G366" s="6"/>
    </row>
    <row r="367" customFormat="false" ht="15" hidden="false" customHeight="false" outlineLevel="0" collapsed="false">
      <c r="A367" s="6"/>
      <c r="B367" s="6"/>
      <c r="C367" s="6"/>
      <c r="D367" s="6"/>
      <c r="E367" s="6"/>
      <c r="F367" s="6"/>
      <c r="G367" s="6"/>
    </row>
    <row r="368" customFormat="false" ht="15" hidden="false" customHeight="false" outlineLevel="0" collapsed="false">
      <c r="A368" s="6"/>
      <c r="B368" s="6"/>
      <c r="C368" s="6"/>
      <c r="D368" s="6"/>
      <c r="E368" s="6"/>
      <c r="F368" s="6"/>
      <c r="G368" s="6"/>
    </row>
    <row r="369" customFormat="false" ht="15" hidden="false" customHeight="false" outlineLevel="0" collapsed="false">
      <c r="A369" s="6"/>
      <c r="B369" s="6"/>
      <c r="C369" s="6"/>
      <c r="D369" s="6"/>
      <c r="E369" s="6"/>
      <c r="F369" s="6"/>
      <c r="G369" s="6"/>
    </row>
    <row r="370" customFormat="false" ht="15" hidden="false" customHeight="false" outlineLevel="0" collapsed="false">
      <c r="A370" s="6"/>
      <c r="B370" s="6"/>
      <c r="C370" s="6"/>
      <c r="D370" s="6"/>
      <c r="E370" s="6"/>
      <c r="F370" s="6"/>
      <c r="G370" s="6"/>
    </row>
    <row r="371" customFormat="false" ht="15" hidden="false" customHeight="false" outlineLevel="0" collapsed="false">
      <c r="A371" s="6"/>
      <c r="B371" s="6"/>
      <c r="C371" s="6"/>
      <c r="D371" s="6"/>
      <c r="E371" s="6"/>
      <c r="F371" s="6"/>
      <c r="G371" s="6"/>
    </row>
    <row r="372" customFormat="false" ht="15" hidden="false" customHeight="false" outlineLevel="0" collapsed="false">
      <c r="A372" s="6"/>
      <c r="B372" s="6"/>
      <c r="C372" s="6"/>
      <c r="D372" s="6"/>
      <c r="E372" s="6"/>
      <c r="F372" s="6"/>
      <c r="G372" s="6"/>
    </row>
    <row r="373" customFormat="false" ht="15" hidden="false" customHeight="false" outlineLevel="0" collapsed="false">
      <c r="A373" s="6"/>
      <c r="B373" s="6"/>
      <c r="C373" s="6"/>
      <c r="D373" s="6"/>
      <c r="E373" s="6"/>
      <c r="F373" s="6"/>
      <c r="G373" s="6"/>
    </row>
    <row r="374" customFormat="false" ht="15" hidden="false" customHeight="false" outlineLevel="0" collapsed="false">
      <c r="A374" s="6"/>
      <c r="B374" s="6"/>
      <c r="C374" s="6"/>
      <c r="D374" s="6"/>
      <c r="E374" s="6"/>
      <c r="F374" s="6"/>
      <c r="G374" s="6"/>
    </row>
    <row r="375" customFormat="false" ht="15" hidden="false" customHeight="false" outlineLevel="0" collapsed="false">
      <c r="A375" s="6"/>
      <c r="B375" s="6"/>
      <c r="C375" s="6"/>
      <c r="D375" s="6"/>
      <c r="E375" s="6"/>
      <c r="F375" s="6"/>
      <c r="G375" s="6"/>
    </row>
    <row r="376" customFormat="false" ht="15" hidden="false" customHeight="false" outlineLevel="0" collapsed="false">
      <c r="A376" s="6"/>
      <c r="B376" s="6"/>
      <c r="C376" s="6"/>
      <c r="D376" s="6"/>
      <c r="E376" s="6"/>
      <c r="F376" s="6"/>
      <c r="G376" s="6"/>
    </row>
    <row r="377" customFormat="false" ht="15" hidden="false" customHeight="false" outlineLevel="0" collapsed="false">
      <c r="A377" s="6"/>
      <c r="B377" s="6"/>
      <c r="C377" s="6"/>
      <c r="D377" s="6"/>
      <c r="E377" s="6"/>
      <c r="F377" s="6"/>
      <c r="G377" s="6"/>
    </row>
    <row r="378" customFormat="false" ht="15" hidden="false" customHeight="false" outlineLevel="0" collapsed="false">
      <c r="A378" s="6"/>
      <c r="B378" s="6"/>
      <c r="C378" s="6"/>
      <c r="D378" s="6"/>
      <c r="E378" s="6"/>
      <c r="F378" s="6"/>
      <c r="G378" s="6"/>
    </row>
    <row r="379" customFormat="false" ht="15" hidden="false" customHeight="false" outlineLevel="0" collapsed="false">
      <c r="A379" s="6"/>
      <c r="B379" s="6"/>
      <c r="C379" s="6"/>
      <c r="D379" s="6"/>
      <c r="E379" s="6"/>
      <c r="F379" s="6"/>
      <c r="G379" s="6"/>
    </row>
    <row r="380" customFormat="false" ht="15" hidden="false" customHeight="false" outlineLevel="0" collapsed="false">
      <c r="A380" s="6"/>
      <c r="B380" s="6"/>
      <c r="C380" s="6"/>
      <c r="D380" s="6"/>
      <c r="E380" s="6"/>
      <c r="F380" s="6"/>
      <c r="G380" s="6"/>
    </row>
    <row r="381" customFormat="false" ht="15" hidden="false" customHeight="false" outlineLevel="0" collapsed="false">
      <c r="A381" s="6"/>
      <c r="B381" s="6"/>
      <c r="C381" s="6"/>
      <c r="D381" s="6"/>
      <c r="E381" s="6"/>
      <c r="F381" s="6"/>
      <c r="G381" s="6"/>
    </row>
    <row r="382" customFormat="false" ht="15" hidden="false" customHeight="false" outlineLevel="0" collapsed="false">
      <c r="A382" s="6"/>
      <c r="B382" s="6"/>
      <c r="C382" s="6"/>
      <c r="D382" s="6"/>
      <c r="E382" s="6"/>
      <c r="F382" s="6"/>
      <c r="G382" s="6"/>
    </row>
    <row r="383" customFormat="false" ht="15" hidden="false" customHeight="false" outlineLevel="0" collapsed="false">
      <c r="A383" s="6"/>
      <c r="B383" s="6"/>
      <c r="C383" s="6"/>
      <c r="D383" s="6"/>
      <c r="E383" s="6"/>
      <c r="F383" s="6"/>
      <c r="G383" s="6"/>
    </row>
    <row r="384" customFormat="false" ht="15" hidden="false" customHeight="false" outlineLevel="0" collapsed="false">
      <c r="A384" s="6"/>
      <c r="B384" s="6"/>
      <c r="C384" s="6"/>
      <c r="D384" s="6"/>
      <c r="E384" s="6"/>
      <c r="F384" s="6"/>
      <c r="G384" s="6"/>
    </row>
    <row r="385" customFormat="false" ht="15" hidden="false" customHeight="false" outlineLevel="0" collapsed="false">
      <c r="A385" s="6"/>
      <c r="B385" s="6"/>
      <c r="C385" s="6"/>
      <c r="D385" s="6"/>
      <c r="E385" s="6"/>
      <c r="F385" s="6"/>
      <c r="G385" s="6"/>
    </row>
    <row r="386" customFormat="false" ht="15" hidden="false" customHeight="false" outlineLevel="0" collapsed="false">
      <c r="A386" s="6"/>
      <c r="B386" s="6"/>
      <c r="C386" s="6"/>
      <c r="D386" s="6"/>
      <c r="E386" s="6"/>
      <c r="F386" s="6"/>
      <c r="G386" s="6"/>
    </row>
    <row r="387" customFormat="false" ht="15" hidden="false" customHeight="false" outlineLevel="0" collapsed="false">
      <c r="A387" s="6"/>
      <c r="B387" s="6"/>
      <c r="C387" s="6"/>
      <c r="D387" s="6"/>
      <c r="E387" s="6"/>
      <c r="F387" s="6"/>
      <c r="G387" s="6"/>
    </row>
    <row r="388" customFormat="false" ht="15" hidden="false" customHeight="false" outlineLevel="0" collapsed="false">
      <c r="A388" s="6"/>
      <c r="B388" s="6"/>
      <c r="C388" s="6"/>
      <c r="D388" s="6"/>
      <c r="E388" s="6"/>
      <c r="F388" s="6"/>
      <c r="G388" s="6"/>
    </row>
    <row r="389" customFormat="false" ht="15" hidden="false" customHeight="false" outlineLevel="0" collapsed="false">
      <c r="A389" s="6"/>
      <c r="B389" s="6"/>
      <c r="C389" s="6"/>
      <c r="D389" s="6"/>
      <c r="E389" s="6"/>
      <c r="F389" s="6"/>
      <c r="G389" s="6"/>
    </row>
    <row r="390" customFormat="false" ht="15" hidden="false" customHeight="false" outlineLevel="0" collapsed="false">
      <c r="A390" s="6"/>
      <c r="B390" s="6"/>
      <c r="C390" s="6"/>
      <c r="D390" s="6"/>
      <c r="E390" s="6"/>
      <c r="F390" s="6"/>
      <c r="G390" s="6"/>
    </row>
    <row r="391" customFormat="false" ht="15" hidden="false" customHeight="false" outlineLevel="0" collapsed="false">
      <c r="A391" s="6"/>
      <c r="B391" s="6"/>
      <c r="C391" s="6"/>
      <c r="D391" s="6"/>
      <c r="E391" s="6"/>
      <c r="F391" s="6"/>
      <c r="G391" s="6"/>
    </row>
    <row r="392" customFormat="false" ht="15" hidden="false" customHeight="false" outlineLevel="0" collapsed="false">
      <c r="A392" s="6"/>
      <c r="B392" s="6"/>
      <c r="C392" s="6"/>
      <c r="D392" s="6"/>
      <c r="E392" s="6"/>
      <c r="F392" s="6"/>
      <c r="G392" s="6"/>
    </row>
    <row r="393" customFormat="false" ht="15" hidden="false" customHeight="false" outlineLevel="0" collapsed="false">
      <c r="A393" s="6"/>
      <c r="B393" s="6"/>
      <c r="C393" s="6"/>
      <c r="D393" s="6"/>
      <c r="E393" s="6"/>
      <c r="F393" s="6"/>
      <c r="G393" s="6"/>
    </row>
    <row r="394" customFormat="false" ht="15" hidden="false" customHeight="false" outlineLevel="0" collapsed="false">
      <c r="A394" s="6"/>
      <c r="B394" s="6"/>
      <c r="C394" s="6"/>
      <c r="D394" s="6"/>
      <c r="E394" s="6"/>
      <c r="F394" s="6"/>
      <c r="G394" s="6"/>
    </row>
    <row r="395" customFormat="false" ht="15" hidden="false" customHeight="false" outlineLevel="0" collapsed="false">
      <c r="A395" s="6"/>
      <c r="B395" s="6"/>
      <c r="C395" s="6"/>
      <c r="D395" s="6"/>
      <c r="E395" s="6"/>
      <c r="F395" s="6"/>
      <c r="G395" s="6"/>
    </row>
    <row r="396" customFormat="false" ht="15" hidden="false" customHeight="false" outlineLevel="0" collapsed="false">
      <c r="A396" s="6"/>
      <c r="B396" s="6"/>
      <c r="C396" s="6"/>
      <c r="D396" s="6"/>
      <c r="E396" s="6"/>
      <c r="F396" s="6"/>
      <c r="G396" s="6"/>
    </row>
    <row r="397" customFormat="false" ht="15" hidden="false" customHeight="false" outlineLevel="0" collapsed="false">
      <c r="A397" s="6"/>
      <c r="B397" s="6"/>
      <c r="C397" s="6"/>
      <c r="D397" s="6"/>
      <c r="E397" s="6"/>
      <c r="F397" s="6"/>
      <c r="G397" s="6"/>
    </row>
    <row r="398" customFormat="false" ht="15" hidden="false" customHeight="false" outlineLevel="0" collapsed="false">
      <c r="A398" s="6"/>
      <c r="B398" s="6"/>
      <c r="C398" s="6"/>
      <c r="D398" s="6"/>
      <c r="E398" s="6"/>
      <c r="F398" s="6"/>
      <c r="G398" s="6"/>
    </row>
    <row r="399" customFormat="false" ht="15" hidden="false" customHeight="false" outlineLevel="0" collapsed="false">
      <c r="A399" s="6"/>
      <c r="B399" s="6"/>
      <c r="C399" s="6"/>
      <c r="D399" s="6"/>
      <c r="E399" s="6"/>
      <c r="F399" s="6"/>
      <c r="G399" s="6"/>
    </row>
    <row r="400" customFormat="false" ht="15" hidden="false" customHeight="false" outlineLevel="0" collapsed="false">
      <c r="A400" s="6"/>
      <c r="B400" s="6"/>
      <c r="C400" s="6"/>
      <c r="D400" s="6"/>
      <c r="E400" s="6"/>
      <c r="F400" s="6"/>
      <c r="G400" s="6"/>
    </row>
  </sheetData>
  <autoFilter ref="A1:G4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70"/>
    <col collapsed="false" customWidth="true" hidden="false" outlineLevel="0" max="4" min="4" style="0" width="60"/>
    <col collapsed="false" customWidth="true" hidden="false" outlineLevel="0" max="6" min="5" style="0" width="34"/>
  </cols>
  <sheetData>
    <row r="1" customFormat="false" ht="19.7" hidden="false" customHeight="false" outlineLevel="0" collapsed="false">
      <c r="A1" s="1" t="s">
        <v>1072</v>
      </c>
    </row>
    <row r="2" customFormat="false" ht="15" hidden="false" customHeight="false" outlineLevel="0" collapsed="false">
      <c r="A2" s="2" t="s">
        <v>1073</v>
      </c>
    </row>
    <row r="4" customFormat="false" ht="15" hidden="false" customHeight="false" outlineLevel="0" collapsed="false">
      <c r="A4" s="8" t="s">
        <v>958</v>
      </c>
      <c r="B4" s="8" t="s">
        <v>1074</v>
      </c>
      <c r="C4" s="8" t="s">
        <v>1075</v>
      </c>
      <c r="D4" s="8" t="s">
        <v>1076</v>
      </c>
      <c r="E4" s="8" t="s">
        <v>1077</v>
      </c>
      <c r="F4" s="8" t="s">
        <v>1078</v>
      </c>
    </row>
    <row r="5" customFormat="false" ht="81.75" hidden="false" customHeight="true" outlineLevel="0" collapsed="false">
      <c r="A5" s="4" t="s">
        <v>367</v>
      </c>
      <c r="B5" s="5" t="s">
        <v>998</v>
      </c>
      <c r="C5" s="5" t="s">
        <v>1079</v>
      </c>
      <c r="D5" s="5" t="s">
        <v>1080</v>
      </c>
      <c r="E5" s="5" t="s">
        <v>1081</v>
      </c>
      <c r="F5" s="5" t="s">
        <v>1082</v>
      </c>
    </row>
    <row r="6" customFormat="false" ht="81.75" hidden="false" customHeight="true" outlineLevel="0" collapsed="false">
      <c r="A6" s="4" t="s">
        <v>354</v>
      </c>
      <c r="B6" s="5" t="s">
        <v>999</v>
      </c>
      <c r="C6" s="5" t="s">
        <v>1083</v>
      </c>
      <c r="D6" s="5" t="s">
        <v>1084</v>
      </c>
      <c r="E6" s="5" t="s">
        <v>1085</v>
      </c>
      <c r="F6" s="5" t="s">
        <v>1086</v>
      </c>
    </row>
    <row r="7" customFormat="false" ht="69" hidden="false" customHeight="true" outlineLevel="0" collapsed="false">
      <c r="A7" s="4" t="s">
        <v>189</v>
      </c>
      <c r="B7" s="5" t="s">
        <v>1000</v>
      </c>
      <c r="C7" s="5" t="s">
        <v>1087</v>
      </c>
      <c r="D7" s="5" t="s">
        <v>1088</v>
      </c>
      <c r="E7" s="5" t="s">
        <v>1089</v>
      </c>
      <c r="F7" s="5" t="s">
        <v>1090</v>
      </c>
    </row>
    <row r="8" customFormat="false" ht="94.5" hidden="false" customHeight="true" outlineLevel="0" collapsed="false">
      <c r="A8" s="4" t="s">
        <v>208</v>
      </c>
      <c r="B8" s="5" t="s">
        <v>1001</v>
      </c>
      <c r="C8" s="5" t="s">
        <v>1091</v>
      </c>
      <c r="D8" s="5" t="s">
        <v>1092</v>
      </c>
      <c r="E8" s="5" t="s">
        <v>1093</v>
      </c>
      <c r="F8" s="5" t="s">
        <v>1094</v>
      </c>
    </row>
    <row r="9" customFormat="false" ht="55.5" hidden="false" customHeight="true" outlineLevel="0" collapsed="false">
      <c r="A9" s="4" t="s">
        <v>398</v>
      </c>
      <c r="B9" s="5" t="s">
        <v>1002</v>
      </c>
      <c r="C9" s="5" t="s">
        <v>1095</v>
      </c>
      <c r="D9" s="5" t="s">
        <v>1096</v>
      </c>
      <c r="E9" s="5" t="s">
        <v>1097</v>
      </c>
      <c r="F9" s="5" t="s">
        <v>1098</v>
      </c>
    </row>
    <row r="10" customFormat="false" ht="42.75" hidden="false" customHeight="true" outlineLevel="0" collapsed="false">
      <c r="A10" s="4" t="s">
        <v>405</v>
      </c>
      <c r="B10" s="5" t="s">
        <v>1003</v>
      </c>
      <c r="C10" s="5" t="s">
        <v>1099</v>
      </c>
      <c r="D10" s="5" t="s">
        <v>1100</v>
      </c>
      <c r="E10" s="5" t="s">
        <v>399</v>
      </c>
      <c r="F10" s="5" t="s">
        <v>1101</v>
      </c>
    </row>
    <row r="11" customFormat="false" ht="94.5" hidden="false" customHeight="true" outlineLevel="0" collapsed="false">
      <c r="A11" s="4" t="s">
        <v>412</v>
      </c>
      <c r="B11" s="5" t="s">
        <v>1004</v>
      </c>
      <c r="C11" s="5" t="s">
        <v>1102</v>
      </c>
      <c r="D11" s="5" t="s">
        <v>1103</v>
      </c>
      <c r="E11" s="5" t="s">
        <v>1104</v>
      </c>
      <c r="F11" s="5" t="s">
        <v>1105</v>
      </c>
    </row>
    <row r="12" customFormat="false" ht="69" hidden="false" customHeight="true" outlineLevel="0" collapsed="false">
      <c r="A12" s="4" t="s">
        <v>321</v>
      </c>
      <c r="B12" s="5" t="s">
        <v>1005</v>
      </c>
      <c r="C12" s="5" t="s">
        <v>1106</v>
      </c>
      <c r="D12" s="5" t="s">
        <v>1107</v>
      </c>
      <c r="E12" s="5" t="s">
        <v>1108</v>
      </c>
      <c r="F12" s="5" t="s">
        <v>1109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5" min="1" style="0" width="12"/>
    <col collapsed="false" customWidth="true" hidden="false" outlineLevel="0" max="6" min="6" style="0" width="24"/>
    <col collapsed="false" customWidth="true" hidden="false" outlineLevel="0" max="8" min="7" style="0" width="12"/>
    <col collapsed="false" customWidth="true" hidden="false" outlineLevel="0" max="9" min="9" style="0" width="10"/>
    <col collapsed="false" customWidth="true" hidden="false" outlineLevel="0" max="11" min="11" style="0" width="16"/>
    <col collapsed="false" customWidth="true" hidden="false" outlineLevel="0" max="12" min="12" style="0" width="10"/>
    <col collapsed="false" customWidth="true" hidden="false" outlineLevel="0" max="14" min="14" style="0" width="8"/>
    <col collapsed="false" customWidth="true" hidden="false" outlineLevel="0" max="15" min="15" style="0" width="70"/>
    <col collapsed="false" customWidth="true" hidden="false" outlineLevel="0" max="17" min="17" style="0" width="9"/>
    <col collapsed="false" customWidth="true" hidden="false" outlineLevel="0" max="18" min="18" style="0" width="34"/>
  </cols>
  <sheetData>
    <row r="1" customFormat="false" ht="15" hidden="false" customHeight="false" outlineLevel="0" collapsed="false">
      <c r="A1" s="3" t="s">
        <v>1110</v>
      </c>
    </row>
    <row r="3" customFormat="false" ht="15" hidden="false" customHeight="false" outlineLevel="0" collapsed="false">
      <c r="A3" s="8" t="s">
        <v>66</v>
      </c>
      <c r="B3" s="8" t="s">
        <v>1022</v>
      </c>
      <c r="C3" s="8" t="s">
        <v>1023</v>
      </c>
      <c r="D3" s="8" t="s">
        <v>70</v>
      </c>
      <c r="E3" s="8" t="s">
        <v>159</v>
      </c>
      <c r="F3" s="8" t="s">
        <v>160</v>
      </c>
      <c r="G3" s="8" t="s">
        <v>162</v>
      </c>
      <c r="H3" s="8" t="s">
        <v>1111</v>
      </c>
      <c r="I3" s="8" t="s">
        <v>44</v>
      </c>
      <c r="K3" s="8" t="s">
        <v>1112</v>
      </c>
      <c r="L3" s="8" t="s">
        <v>85</v>
      </c>
      <c r="N3" s="8" t="s">
        <v>66</v>
      </c>
      <c r="O3" s="8" t="s">
        <v>1113</v>
      </c>
      <c r="Q3" s="8" t="s">
        <v>1114</v>
      </c>
      <c r="R3" s="8" t="s">
        <v>1074</v>
      </c>
    </row>
    <row r="4" customFormat="false" ht="23.85" hidden="false" customHeight="false" outlineLevel="0" collapsed="false">
      <c r="A4" s="5" t="n">
        <v>0</v>
      </c>
      <c r="B4" s="5" t="s">
        <v>1115</v>
      </c>
      <c r="C4" s="5" t="s">
        <v>1116</v>
      </c>
      <c r="D4" s="5" t="s">
        <v>46</v>
      </c>
      <c r="E4" s="5" t="s">
        <v>1117</v>
      </c>
      <c r="F4" s="5" t="s">
        <v>981</v>
      </c>
      <c r="G4" s="5" t="s">
        <v>1118</v>
      </c>
      <c r="H4" s="5" t="s">
        <v>1119</v>
      </c>
      <c r="I4" s="5" t="s">
        <v>967</v>
      </c>
      <c r="K4" s="5" t="s">
        <v>1120</v>
      </c>
      <c r="L4" s="28" t="n">
        <v>0.8</v>
      </c>
      <c r="N4" s="13" t="n">
        <v>0</v>
      </c>
      <c r="O4" s="5" t="s">
        <v>32</v>
      </c>
      <c r="Q4" s="5" t="s">
        <v>367</v>
      </c>
      <c r="R4" s="5" t="s">
        <v>998</v>
      </c>
    </row>
    <row r="5" customFormat="false" ht="23.85" hidden="false" customHeight="false" outlineLevel="0" collapsed="false">
      <c r="A5" s="5" t="n">
        <v>1</v>
      </c>
      <c r="B5" s="5" t="s">
        <v>1121</v>
      </c>
      <c r="C5" s="5" t="s">
        <v>1121</v>
      </c>
      <c r="D5" s="5" t="s">
        <v>48</v>
      </c>
      <c r="E5" s="5" t="s">
        <v>1122</v>
      </c>
      <c r="F5" s="5" t="s">
        <v>982</v>
      </c>
      <c r="G5" s="5" t="s">
        <v>1123</v>
      </c>
      <c r="H5" s="5" t="s">
        <v>1124</v>
      </c>
      <c r="I5" s="5" t="s">
        <v>967</v>
      </c>
      <c r="K5" s="5" t="s">
        <v>1125</v>
      </c>
      <c r="L5" s="28" t="n">
        <v>0.5</v>
      </c>
      <c r="N5" s="13" t="n">
        <v>1</v>
      </c>
      <c r="O5" s="5" t="s">
        <v>34</v>
      </c>
      <c r="Q5" s="5" t="s">
        <v>354</v>
      </c>
      <c r="R5" s="5" t="s">
        <v>999</v>
      </c>
    </row>
    <row r="6" customFormat="false" ht="23.85" hidden="false" customHeight="false" outlineLevel="0" collapsed="false">
      <c r="A6" s="5" t="n">
        <v>2</v>
      </c>
      <c r="B6" s="5" t="s">
        <v>1126</v>
      </c>
      <c r="C6" s="5" t="s">
        <v>1126</v>
      </c>
      <c r="D6" s="5" t="s">
        <v>50</v>
      </c>
      <c r="E6" s="5" t="s">
        <v>1127</v>
      </c>
      <c r="F6" s="5" t="s">
        <v>983</v>
      </c>
      <c r="G6" s="5" t="s">
        <v>1128</v>
      </c>
      <c r="H6" s="5" t="s">
        <v>1129</v>
      </c>
      <c r="I6" s="5" t="s">
        <v>968</v>
      </c>
      <c r="K6" s="2" t="s">
        <v>1130</v>
      </c>
      <c r="N6" s="13" t="n">
        <v>2</v>
      </c>
      <c r="O6" s="5" t="s">
        <v>36</v>
      </c>
      <c r="Q6" s="5" t="s">
        <v>189</v>
      </c>
      <c r="R6" s="5" t="s">
        <v>1000</v>
      </c>
    </row>
    <row r="7" customFormat="false" ht="23.85" hidden="false" customHeight="false" outlineLevel="0" collapsed="false">
      <c r="A7" s="5" t="n">
        <v>3</v>
      </c>
      <c r="D7" s="5" t="s">
        <v>52</v>
      </c>
      <c r="E7" s="5" t="s">
        <v>1131</v>
      </c>
      <c r="F7" s="5" t="s">
        <v>984</v>
      </c>
      <c r="G7" s="5" t="s">
        <v>1132</v>
      </c>
      <c r="H7" s="5" t="s">
        <v>1133</v>
      </c>
      <c r="I7" s="5" t="s">
        <v>968</v>
      </c>
      <c r="N7" s="13" t="n">
        <v>3</v>
      </c>
      <c r="O7" s="5" t="s">
        <v>38</v>
      </c>
      <c r="Q7" s="5" t="s">
        <v>208</v>
      </c>
      <c r="R7" s="5" t="s">
        <v>1001</v>
      </c>
    </row>
    <row r="8" customFormat="false" ht="23.85" hidden="false" customHeight="false" outlineLevel="0" collapsed="false">
      <c r="A8" s="5" t="s">
        <v>39</v>
      </c>
      <c r="F8" s="5" t="s">
        <v>985</v>
      </c>
      <c r="H8" s="5" t="s">
        <v>1134</v>
      </c>
      <c r="I8" s="5" t="s">
        <v>968</v>
      </c>
      <c r="N8" s="13" t="s">
        <v>39</v>
      </c>
      <c r="O8" s="5" t="s">
        <v>40</v>
      </c>
      <c r="Q8" s="5" t="s">
        <v>398</v>
      </c>
      <c r="R8" s="5" t="s">
        <v>1002</v>
      </c>
    </row>
    <row r="9" customFormat="false" ht="15" hidden="false" customHeight="false" outlineLevel="0" collapsed="false">
      <c r="F9" s="5" t="s">
        <v>986</v>
      </c>
      <c r="H9" s="5" t="s">
        <v>1135</v>
      </c>
      <c r="I9" s="5" t="s">
        <v>1136</v>
      </c>
      <c r="Q9" s="5" t="s">
        <v>405</v>
      </c>
      <c r="R9" s="5" t="s">
        <v>1003</v>
      </c>
    </row>
    <row r="10" customFormat="false" ht="15" hidden="false" customHeight="false" outlineLevel="0" collapsed="false">
      <c r="F10" s="5" t="s">
        <v>987</v>
      </c>
      <c r="H10" s="5" t="s">
        <v>1137</v>
      </c>
      <c r="I10" s="5" t="s">
        <v>1136</v>
      </c>
      <c r="Q10" s="5" t="s">
        <v>412</v>
      </c>
      <c r="R10" s="5" t="s">
        <v>1004</v>
      </c>
    </row>
    <row r="11" customFormat="false" ht="15" hidden="false" customHeight="false" outlineLevel="0" collapsed="false">
      <c r="F11" s="5" t="s">
        <v>988</v>
      </c>
      <c r="H11" s="5" t="s">
        <v>1138</v>
      </c>
      <c r="I11" s="5" t="s">
        <v>1136</v>
      </c>
      <c r="Q11" s="5" t="s">
        <v>321</v>
      </c>
      <c r="R11" s="5" t="s">
        <v>1005</v>
      </c>
    </row>
    <row r="12" customFormat="false" ht="15" hidden="false" customHeight="false" outlineLevel="0" collapsed="false">
      <c r="F12" s="5" t="s">
        <v>989</v>
      </c>
      <c r="H12" s="5" t="s">
        <v>1139</v>
      </c>
      <c r="I12" s="5" t="s">
        <v>1140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2026-09-05T12:32:59Z</dcterms:created>
  <dc:creator>openpyxl</dc:creator>
  <dc:description/>
  <dc:language>en-US</dc:language>
  <cp:lastModifiedBy/>
  <dcterms:modified xsi:type="dcterms:W3CDTF">2026-09-05T12:32:59Z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